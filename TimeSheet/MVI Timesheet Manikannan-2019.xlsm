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730" windowHeight="9660" activeTab="3"/>
  </bookViews>
  <sheets>
    <sheet name="Jan" sheetId="1" r:id="rId1"/>
    <sheet name="Feb" sheetId="2" r:id="rId2"/>
    <sheet name="Mar" sheetId="3" r:id="rId3"/>
    <sheet name="Apr" sheetId="4" r:id="rId4"/>
    <sheet name="May" sheetId="5" r:id="rId5"/>
    <sheet name="June" sheetId="6" r:id="rId6"/>
    <sheet name="July" sheetId="7" r:id="rId7"/>
    <sheet name="Aug" sheetId="8" r:id="rId8"/>
    <sheet name="Sep" sheetId="9" r:id="rId9"/>
    <sheet name="Oct" sheetId="10" r:id="rId10"/>
    <sheet name="Nov" sheetId="11" r:id="rId11"/>
    <sheet name="Dec" sheetId="12" r:id="rId12"/>
  </sheets>
  <externalReferences>
    <externalReference r:id="rId13"/>
  </externalReferences>
  <definedNames>
    <definedName name="MyProjectCodeColumn">[1]!ProjectCodeColumn</definedName>
    <definedName name="MyProjectCodeList">[1]!ProjectCodeList</definedName>
    <definedName name="MyProjectCodeStart" localSheetId="3">[1]!ProjectCodeStart</definedName>
    <definedName name="MyProjectCodeStart" localSheetId="7">[1]!ProjectCodeStart</definedName>
    <definedName name="MyProjectCodeStart" localSheetId="11">[1]!ProjectCodeStart</definedName>
    <definedName name="MyProjectCodeStart" localSheetId="1">[1]!ProjectCodeStart</definedName>
    <definedName name="MyProjectCodeStart" localSheetId="0">[1]!ProjectCodeStart</definedName>
    <definedName name="MyProjectCodeStart" localSheetId="6">[1]!ProjectCodeStart</definedName>
    <definedName name="MyProjectCodeStart" localSheetId="5">[1]!ProjectCodeStart</definedName>
    <definedName name="MyProjectCodeStart" localSheetId="2">[1]!ProjectCodeStart</definedName>
    <definedName name="MyProjectCodeStart" localSheetId="4">[1]!ProjectCodeStart</definedName>
    <definedName name="MyProjectCodeStart" localSheetId="10">[1]!ProjectCodeStart</definedName>
    <definedName name="MyProjectCodeStart" localSheetId="9">[1]!ProjectCodeStart</definedName>
    <definedName name="MyProjectCodeStart" localSheetId="8">[1]!ProjectCodeStart</definedName>
    <definedName name="MySubCategoriesList">[1]!SubCategoriesList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E1" i="12"/>
  <c r="D2" i="12"/>
  <c r="E2" i="12"/>
  <c r="F2" i="12"/>
  <c r="G2" i="12"/>
  <c r="H2" i="12"/>
  <c r="I2" i="12"/>
  <c r="J2" i="12"/>
  <c r="K2" i="12"/>
  <c r="L2" i="12"/>
  <c r="M2" i="12"/>
  <c r="N2" i="12"/>
  <c r="O2" i="12"/>
  <c r="P2" i="12"/>
  <c r="Q2" i="12"/>
  <c r="R2" i="12"/>
  <c r="S2" i="12"/>
  <c r="T2" i="12"/>
  <c r="U2" i="12"/>
  <c r="V2" i="12"/>
  <c r="W2" i="12"/>
  <c r="X2" i="12"/>
  <c r="Y2" i="12"/>
  <c r="Z2" i="12"/>
  <c r="AA2" i="12"/>
  <c r="AB2" i="12"/>
  <c r="AC2" i="12"/>
  <c r="AD2" i="12"/>
  <c r="AE2" i="12"/>
  <c r="AF2" i="12"/>
  <c r="AG2" i="12"/>
  <c r="AH2" i="12"/>
  <c r="E1" i="11"/>
  <c r="D2" i="11"/>
  <c r="E2" i="11"/>
  <c r="F2" i="11"/>
  <c r="G2" i="11"/>
  <c r="H2" i="11"/>
  <c r="I2" i="11"/>
  <c r="J2" i="11"/>
  <c r="K2" i="11"/>
  <c r="L2" i="11"/>
  <c r="M2" i="11"/>
  <c r="N2" i="11"/>
  <c r="O2" i="11"/>
  <c r="P2" i="11"/>
  <c r="Q2" i="11"/>
  <c r="R2" i="11"/>
  <c r="S2" i="11"/>
  <c r="T2" i="11"/>
  <c r="U2" i="11"/>
  <c r="V2" i="11"/>
  <c r="W2" i="11"/>
  <c r="X2" i="11"/>
  <c r="Y2" i="11"/>
  <c r="Z2" i="11"/>
  <c r="AA2" i="11"/>
  <c r="AB2" i="11"/>
  <c r="AC2" i="11"/>
  <c r="AD2" i="11"/>
  <c r="AE2" i="11"/>
  <c r="AF2" i="11"/>
  <c r="AG2" i="11"/>
  <c r="AH2" i="11"/>
  <c r="E1" i="10"/>
  <c r="D2" i="10"/>
  <c r="E2" i="10"/>
  <c r="F2" i="10"/>
  <c r="G2" i="10"/>
  <c r="H2" i="10"/>
  <c r="I2" i="10"/>
  <c r="J2" i="10"/>
  <c r="K2" i="10"/>
  <c r="L2" i="10"/>
  <c r="M2" i="10"/>
  <c r="N2" i="10"/>
  <c r="O2" i="10"/>
  <c r="P2" i="10"/>
  <c r="Q2" i="10"/>
  <c r="R2" i="10"/>
  <c r="S2" i="10"/>
  <c r="T2" i="10"/>
  <c r="U2" i="10"/>
  <c r="V2" i="10"/>
  <c r="W2" i="10"/>
  <c r="X2" i="10"/>
  <c r="Y2" i="10"/>
  <c r="Z2" i="10"/>
  <c r="AA2" i="10"/>
  <c r="AB2" i="10"/>
  <c r="AC2" i="10"/>
  <c r="AD2" i="10"/>
  <c r="AE2" i="10"/>
  <c r="AF2" i="10"/>
  <c r="AG2" i="10"/>
  <c r="AH2" i="10"/>
  <c r="E1" i="9"/>
  <c r="D2" i="9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X2" i="9"/>
  <c r="Y2" i="9"/>
  <c r="Z2" i="9"/>
  <c r="AA2" i="9"/>
  <c r="AB2" i="9"/>
  <c r="AC2" i="9"/>
  <c r="AD2" i="9"/>
  <c r="AE2" i="9"/>
  <c r="AF2" i="9"/>
  <c r="AG2" i="9"/>
  <c r="AH2" i="9"/>
  <c r="E1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AF2" i="8"/>
  <c r="AG2" i="8"/>
  <c r="AH2" i="8"/>
  <c r="E1" i="7"/>
  <c r="D2" i="7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E1" i="6"/>
  <c r="D2" i="6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E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E1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E1" i="3"/>
  <c r="D2" i="3" s="1"/>
  <c r="E2" i="3" s="1"/>
  <c r="F2" i="3" s="1"/>
  <c r="G2" i="3" s="1"/>
  <c r="H2" i="3" s="1"/>
  <c r="I2" i="3" s="1"/>
  <c r="J2" i="3" s="1"/>
  <c r="K2" i="3" s="1"/>
  <c r="L2" i="3" s="1"/>
  <c r="M2" i="3" s="1"/>
  <c r="N2" i="3" s="1"/>
  <c r="O2" i="3" s="1"/>
  <c r="P2" i="3" s="1"/>
  <c r="Q2" i="3" s="1"/>
  <c r="R2" i="3" s="1"/>
  <c r="S2" i="3" s="1"/>
  <c r="T2" i="3" s="1"/>
  <c r="U2" i="3" s="1"/>
  <c r="V2" i="3" s="1"/>
  <c r="W2" i="3" s="1"/>
  <c r="X2" i="3" s="1"/>
  <c r="Y2" i="3" s="1"/>
  <c r="Z2" i="3" s="1"/>
  <c r="AA2" i="3" s="1"/>
  <c r="AB2" i="3" s="1"/>
  <c r="AC2" i="3" s="1"/>
  <c r="AD2" i="3" s="1"/>
  <c r="AE2" i="3" s="1"/>
  <c r="AF2" i="3" s="1"/>
  <c r="AG2" i="3" s="1"/>
  <c r="AH2" i="3" s="1"/>
  <c r="E1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</calcChain>
</file>

<file path=xl/sharedStrings.xml><?xml version="1.0" encoding="utf-8"?>
<sst xmlns="http://schemas.openxmlformats.org/spreadsheetml/2006/main" count="64" uniqueCount="16">
  <si>
    <t>Start Date</t>
  </si>
  <si>
    <t>Project</t>
  </si>
  <si>
    <t>Subcategory</t>
  </si>
  <si>
    <t>MD-GSwitch</t>
  </si>
  <si>
    <t>CR24-Refund</t>
  </si>
  <si>
    <t>Proj GSwitch2.0</t>
  </si>
  <si>
    <t>Support</t>
  </si>
  <si>
    <t>ABL-DIV</t>
  </si>
  <si>
    <t>Proj eWallet</t>
  </si>
  <si>
    <t>Leave</t>
  </si>
  <si>
    <t>Public Holiday</t>
  </si>
  <si>
    <t>R&amp;D</t>
  </si>
  <si>
    <t>Automation Testing</t>
  </si>
  <si>
    <t>Proj GSwitch1.0</t>
  </si>
  <si>
    <t>Annual</t>
  </si>
  <si>
    <t>CR24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</si>
</sst>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m\-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 applyProtection="1">
      <alignment horizontal="left" vertical="top" wrapText="1"/>
    </xf>
    <xf numFmtId="0" fontId="0" fillId="0" borderId="1" xfId="0" quotePrefix="1" applyBorder="1" applyAlignment="1" applyProtection="1">
      <alignment horizontal="left" vertical="top" wrapText="1"/>
    </xf>
    <xf numFmtId="164" fontId="0" fillId="0" borderId="1" xfId="0" applyNumberFormat="1" applyBorder="1" applyAlignment="1" applyProtection="1">
      <alignment horizontal="left" vertical="top" wrapText="1"/>
      <protection locked="0"/>
    </xf>
    <xf numFmtId="2" fontId="0" fillId="0" borderId="1" xfId="0" applyNumberFormat="1" applyBorder="1" applyAlignment="1" applyProtection="1">
      <alignment horizontal="right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164" fontId="1" fillId="2" borderId="1" xfId="0" applyNumberFormat="1" applyFont="1" applyFill="1" applyBorder="1" applyAlignment="1" applyProtection="1">
      <alignment horizontal="center" vertical="top" wrapText="1"/>
      <protection locked="0"/>
    </xf>
    <xf numFmtId="0" fontId="1" fillId="3" borderId="1" xfId="0" applyNumberFormat="1" applyFont="1" applyFill="1" applyBorder="1" applyAlignment="1" applyProtection="1">
      <alignment horizontal="left" vertical="top" wrapText="1"/>
    </xf>
    <xf numFmtId="0" fontId="0" fillId="0" borderId="1" xfId="0" applyNumberFormat="1" applyBorder="1" applyAlignment="1" applyProtection="1">
      <alignment horizontal="left" vertical="top" wrapText="1"/>
      <protection locked="0"/>
    </xf>
    <xf numFmtId="15" fontId="0" fillId="0" borderId="1" xfId="0" applyNumberFormat="1" applyBorder="1" applyAlignment="1" applyProtection="1">
      <alignment horizontal="left" vertical="top" wrapText="1"/>
      <protection locked="0"/>
    </xf>
    <xf numFmtId="2" fontId="1" fillId="3" borderId="1" xfId="0" applyNumberFormat="1" applyFont="1" applyFill="1" applyBorder="1" applyAlignment="1" applyProtection="1">
      <alignment horizontal="right" vertical="top" wrapText="1"/>
    </xf>
  </cellXfs>
  <cellStyles count="1">
    <cellStyle name="Normal" xfId="0" builtinId="0"/>
  </cellStyles>
  <dxfs count="73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TimeSheet\MVIProjectCod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ProjectCodes"/>
      <sheetName val="MVIProjectCodes"/>
    </sheetNames>
    <definedNames>
      <definedName name="ProjectCodeColumn" refersTo="='List'!$A:$A"/>
      <definedName name="ProjectCodeList" refersTo="='ProjectCodes'!$A$2:$A$24"/>
      <definedName name="ProjectCodeStart" refersTo="='List'!$A$1"/>
      <definedName name="SubCategoriesList" refersTo="='List'!$B:$B"/>
    </definedNames>
    <sheetDataSet>
      <sheetData sheetId="0">
        <row r="1">
          <cell r="A1" t="str">
            <v>Project Code Column</v>
          </cell>
        </row>
        <row r="2">
          <cell r="A2" t="str">
            <v>ABL-DIV</v>
          </cell>
        </row>
        <row r="3">
          <cell r="A3" t="str">
            <v>ABL-DIV</v>
          </cell>
        </row>
        <row r="4">
          <cell r="A4" t="str">
            <v>ABL-DIV</v>
          </cell>
        </row>
        <row r="5">
          <cell r="A5" t="str">
            <v>ABL-DIV</v>
          </cell>
        </row>
        <row r="6">
          <cell r="A6" t="str">
            <v>MD-AXS</v>
          </cell>
        </row>
        <row r="7">
          <cell r="A7" t="str">
            <v>MD-AXS</v>
          </cell>
        </row>
        <row r="8">
          <cell r="A8" t="str">
            <v>MD-GBlue</v>
          </cell>
        </row>
        <row r="9">
          <cell r="A9" t="str">
            <v>MD-eNETS</v>
          </cell>
        </row>
        <row r="10">
          <cell r="A10" t="str">
            <v>MD-eNETS</v>
          </cell>
        </row>
        <row r="11">
          <cell r="A11" t="str">
            <v>MD-eNETS</v>
          </cell>
        </row>
        <row r="12">
          <cell r="A12" t="str">
            <v>MD-eNETS</v>
          </cell>
        </row>
        <row r="13">
          <cell r="A13" t="str">
            <v>MD-eNETS</v>
          </cell>
        </row>
        <row r="14">
          <cell r="A14" t="str">
            <v>MD-GSwitch</v>
          </cell>
        </row>
        <row r="15">
          <cell r="A15" t="str">
            <v>MD-GSwitch</v>
          </cell>
        </row>
        <row r="16">
          <cell r="A16" t="str">
            <v>MD-GSwitch</v>
          </cell>
        </row>
        <row r="17">
          <cell r="A17" t="str">
            <v>MD-GSwitch</v>
          </cell>
        </row>
        <row r="18">
          <cell r="A18" t="str">
            <v>MD-GSwitch</v>
          </cell>
        </row>
        <row r="19">
          <cell r="A19" t="str">
            <v>MD-GSwitch</v>
          </cell>
        </row>
        <row r="20">
          <cell r="A20" t="str">
            <v>MD-HLB</v>
          </cell>
        </row>
        <row r="21">
          <cell r="A21" t="str">
            <v>R&amp;D</v>
          </cell>
        </row>
        <row r="22">
          <cell r="A22" t="str">
            <v>R&amp;D</v>
          </cell>
        </row>
        <row r="23">
          <cell r="A23" t="str">
            <v>R&amp;D</v>
          </cell>
        </row>
        <row r="24">
          <cell r="A24" t="str">
            <v>R&amp;D</v>
          </cell>
        </row>
      </sheetData>
      <sheetData sheetId="1">
        <row r="1">
          <cell r="A1" t="str">
            <v>Project Code List</v>
          </cell>
        </row>
        <row r="2">
          <cell r="A2" t="str">
            <v>ABL-DIV</v>
          </cell>
        </row>
        <row r="3">
          <cell r="A3" t="str">
            <v>MD-AXS</v>
          </cell>
        </row>
        <row r="4">
          <cell r="A4" t="str">
            <v>MD-GBlue</v>
          </cell>
        </row>
        <row r="5">
          <cell r="A5" t="str">
            <v>MD-eNETS</v>
          </cell>
        </row>
        <row r="6">
          <cell r="A6" t="str">
            <v>MD-GSwitch</v>
          </cell>
        </row>
        <row r="7">
          <cell r="A7" t="str">
            <v>MD-HLB</v>
          </cell>
        </row>
        <row r="8">
          <cell r="A8" t="str">
            <v>R&amp;D</v>
          </cell>
        </row>
        <row r="9">
          <cell r="A9" t="str">
            <v>R&amp;D-FW</v>
          </cell>
        </row>
        <row r="10">
          <cell r="A10" t="str">
            <v>PSales-China</v>
          </cell>
        </row>
        <row r="11">
          <cell r="A11" t="str">
            <v>PSales-eNETS</v>
          </cell>
        </row>
        <row r="12">
          <cell r="A12" t="str">
            <v>PSales-Jewel</v>
          </cell>
        </row>
        <row r="13">
          <cell r="A13" t="str">
            <v>PSales-LTA</v>
          </cell>
        </row>
        <row r="14">
          <cell r="A14" t="str">
            <v>PSales-Misc</v>
          </cell>
        </row>
        <row r="15">
          <cell r="A15" t="str">
            <v>PSales-M^D</v>
          </cell>
        </row>
        <row r="16">
          <cell r="A16" t="str">
            <v>PSales-MPay</v>
          </cell>
        </row>
        <row r="17">
          <cell r="A17" t="str">
            <v>PSales-RH</v>
          </cell>
        </row>
        <row r="18">
          <cell r="A18" t="str">
            <v>PSales-UOB</v>
          </cell>
        </row>
        <row r="19">
          <cell r="A19" t="str">
            <v>PRGN-MVI</v>
          </cell>
        </row>
        <row r="20">
          <cell r="A20" t="str">
            <v>PRGN-NETS</v>
          </cell>
        </row>
        <row r="21">
          <cell r="A21" t="str">
            <v>PRGN-OCBC</v>
          </cell>
        </row>
        <row r="22">
          <cell r="A22" t="str">
            <v>PRGN-PSA</v>
          </cell>
        </row>
        <row r="23">
          <cell r="A23" t="str">
            <v>Internal</v>
          </cell>
        </row>
        <row r="24">
          <cell r="A24" t="str">
            <v>Leave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17"/>
  <sheetViews>
    <sheetView zoomScale="130" zoomScaleNormal="13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RowHeight="15" x14ac:dyDescent="0.25"/>
  <cols>
    <col min="1" max="1" width="15.140625" style="1" customWidth="1"/>
    <col min="2" max="2" width="13.5703125" style="1" customWidth="1"/>
    <col min="3" max="3" width="2.28515625" style="1" customWidth="1"/>
    <col min="4" max="4" width="9.7109375" style="4" bestFit="1" customWidth="1"/>
    <col min="5" max="5" width="10" style="4" customWidth="1"/>
    <col min="6" max="6" width="10.140625" style="5" customWidth="1"/>
    <col min="7" max="34" width="9.42578125" style="5" bestFit="1" customWidth="1"/>
    <col min="35" max="16384" width="9.140625" style="5"/>
  </cols>
  <sheetData>
    <row r="1" spans="1:34" s="8" customFormat="1" x14ac:dyDescent="0.25">
      <c r="A1" s="7" t="s">
        <v>1</v>
      </c>
      <c r="B1" s="7" t="s">
        <v>2</v>
      </c>
      <c r="C1" s="7"/>
      <c r="D1" s="10" t="s">
        <v>0</v>
      </c>
      <c r="E1" s="9">
        <v>43466</v>
      </c>
    </row>
    <row r="2" spans="1:34" x14ac:dyDescent="0.25">
      <c r="A2" s="7"/>
      <c r="B2" s="7"/>
      <c r="C2" s="7"/>
      <c r="D2" s="6">
        <f>E1</f>
        <v>43466</v>
      </c>
      <c r="E2" s="6">
        <f>D2+1</f>
        <v>43467</v>
      </c>
      <c r="F2" s="6">
        <f>E2+1</f>
        <v>43468</v>
      </c>
      <c r="G2" s="6">
        <f>F2+1</f>
        <v>43469</v>
      </c>
      <c r="H2" s="6">
        <f>G2+1</f>
        <v>43470</v>
      </c>
      <c r="I2" s="6">
        <f t="shared" ref="I2:AH2" si="0">H2+1</f>
        <v>43471</v>
      </c>
      <c r="J2" s="6">
        <f t="shared" si="0"/>
        <v>43472</v>
      </c>
      <c r="K2" s="6">
        <f t="shared" si="0"/>
        <v>43473</v>
      </c>
      <c r="L2" s="6">
        <f t="shared" si="0"/>
        <v>43474</v>
      </c>
      <c r="M2" s="6">
        <f t="shared" si="0"/>
        <v>43475</v>
      </c>
      <c r="N2" s="6">
        <f t="shared" si="0"/>
        <v>43476</v>
      </c>
      <c r="O2" s="6">
        <f t="shared" si="0"/>
        <v>43477</v>
      </c>
      <c r="P2" s="6">
        <f t="shared" si="0"/>
        <v>43478</v>
      </c>
      <c r="Q2" s="6">
        <f t="shared" si="0"/>
        <v>43479</v>
      </c>
      <c r="R2" s="6">
        <f t="shared" si="0"/>
        <v>43480</v>
      </c>
      <c r="S2" s="6">
        <f t="shared" si="0"/>
        <v>43481</v>
      </c>
      <c r="T2" s="6">
        <f t="shared" si="0"/>
        <v>43482</v>
      </c>
      <c r="U2" s="6">
        <f t="shared" si="0"/>
        <v>43483</v>
      </c>
      <c r="V2" s="6">
        <f t="shared" si="0"/>
        <v>43484</v>
      </c>
      <c r="W2" s="6">
        <f t="shared" si="0"/>
        <v>43485</v>
      </c>
      <c r="X2" s="6">
        <f t="shared" si="0"/>
        <v>43486</v>
      </c>
      <c r="Y2" s="6">
        <f t="shared" si="0"/>
        <v>43487</v>
      </c>
      <c r="Z2" s="6">
        <f t="shared" si="0"/>
        <v>43488</v>
      </c>
      <c r="AA2" s="6">
        <f t="shared" si="0"/>
        <v>43489</v>
      </c>
      <c r="AB2" s="6">
        <f t="shared" si="0"/>
        <v>43490</v>
      </c>
      <c r="AC2" s="6">
        <f t="shared" si="0"/>
        <v>43491</v>
      </c>
      <c r="AD2" s="6">
        <f t="shared" si="0"/>
        <v>43492</v>
      </c>
      <c r="AE2" s="6">
        <f t="shared" si="0"/>
        <v>43493</v>
      </c>
      <c r="AF2" s="6">
        <f t="shared" si="0"/>
        <v>43494</v>
      </c>
      <c r="AG2" s="6">
        <f t="shared" si="0"/>
        <v>43495</v>
      </c>
      <c r="AH2" s="6">
        <f t="shared" si="0"/>
        <v>43496</v>
      </c>
    </row>
    <row r="4" spans="1:34" x14ac:dyDescent="0.25">
      <c r="A4" s="2"/>
      <c r="B4" s="2"/>
      <c r="C4" s="2"/>
    </row>
    <row r="5" spans="1:34" x14ac:dyDescent="0.25">
      <c r="B5" s="2"/>
      <c r="C5" s="2"/>
    </row>
    <row r="6" spans="1:34" x14ac:dyDescent="0.25">
      <c r="B6" s="2"/>
      <c r="C6" s="2"/>
    </row>
    <row r="7" spans="1:34" x14ac:dyDescent="0.25">
      <c r="B7" s="2"/>
      <c r="C7" s="2"/>
    </row>
    <row r="8" spans="1:34" x14ac:dyDescent="0.25">
      <c r="B8" s="2"/>
      <c r="C8" s="2"/>
    </row>
    <row r="9" spans="1:34" x14ac:dyDescent="0.25">
      <c r="B9" s="2"/>
      <c r="C9" s="2"/>
    </row>
    <row r="10" spans="1:34" x14ac:dyDescent="0.25">
      <c r="B10" s="2"/>
      <c r="C10" s="2"/>
    </row>
    <row r="11" spans="1:34" x14ac:dyDescent="0.25">
      <c r="B11" s="2"/>
      <c r="C11" s="2"/>
    </row>
    <row r="12" spans="1:34" x14ac:dyDescent="0.25">
      <c r="B12" s="2"/>
      <c r="C12" s="2"/>
    </row>
    <row r="13" spans="1:34" x14ac:dyDescent="0.25">
      <c r="B13" s="2"/>
      <c r="C13" s="2"/>
    </row>
    <row r="14" spans="1:34" x14ac:dyDescent="0.25">
      <c r="B14" s="2"/>
      <c r="C14" s="2"/>
    </row>
    <row r="15" spans="1:34" x14ac:dyDescent="0.25">
      <c r="B15" s="2"/>
      <c r="C15" s="2"/>
    </row>
    <row r="16" spans="1:34" x14ac:dyDescent="0.25">
      <c r="B16" s="2"/>
      <c r="C16" s="2"/>
    </row>
    <row r="17" spans="2:3" x14ac:dyDescent="0.25">
      <c r="B17" s="2"/>
      <c r="C17" s="2"/>
    </row>
  </sheetData>
  <sheetProtection formatCells="0" formatColumns="0" formatRows="0" insertColumns="0" insertRows="0" deleteColumns="0" deleteRows="0"/>
  <dataConsolidate/>
  <conditionalFormatting sqref="H2">
    <cfRule type="expression" dxfId="72" priority="8">
      <formula>IF(WEEKDAY(H2,2)&gt;5,TRUE,FALSE)</formula>
    </cfRule>
  </conditionalFormatting>
  <conditionalFormatting sqref="E2">
    <cfRule type="expression" dxfId="71" priority="6">
      <formula>IF(WEEKDAY(E2,2)&gt;5,TRUE,FALSE)</formula>
    </cfRule>
  </conditionalFormatting>
  <conditionalFormatting sqref="F2">
    <cfRule type="expression" dxfId="70" priority="5">
      <formula>IF(WEEKDAY(F2,2)&gt;5,TRUE,FALSE)</formula>
    </cfRule>
  </conditionalFormatting>
  <conditionalFormatting sqref="G2">
    <cfRule type="expression" dxfId="69" priority="4">
      <formula>IF(WEEKDAY(G2,2)&gt;5,TRUE,FALSE)</formula>
    </cfRule>
  </conditionalFormatting>
  <conditionalFormatting sqref="I2:AH2">
    <cfRule type="expression" dxfId="68" priority="3">
      <formula>IF(WEEKDAY(I2,2)&gt;5,TRUE,FALSE)</formula>
    </cfRule>
  </conditionalFormatting>
  <conditionalFormatting sqref="D2">
    <cfRule type="expression" dxfId="67" priority="1">
      <formula>IF(WEEKDAY(D2,2)&gt;5,TRUE,FALSE)</formula>
    </cfRule>
  </conditionalFormatting>
  <dataValidations count="2">
    <dataValidation type="list" allowBlank="1" showInputMessage="1" showErrorMessage="1" sqref="A3:A1048576">
      <formula1>MyProjectCodeList</formula1>
    </dataValidation>
    <dataValidation type="list" allowBlank="1" showInputMessage="1" showErrorMessage="1" sqref="B3:B1048576">
      <formula1>OFFSET(MyProjectCodeStart,MATCH(A3, MyProjectCodeColumn, 0) -1, 1, COUNTIF(MyProjectCodeColumn,A3), 1)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16"/>
  <sheetViews>
    <sheetView zoomScale="130" zoomScaleNormal="13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5" x14ac:dyDescent="0.25"/>
  <cols>
    <col min="1" max="1" width="18.7109375" style="1" customWidth="1"/>
    <col min="2" max="2" width="13.5703125" style="1" customWidth="1"/>
    <col min="3" max="3" width="2.28515625" style="1" customWidth="1"/>
    <col min="4" max="4" width="9.7109375" style="4" bestFit="1" customWidth="1"/>
    <col min="5" max="5" width="10" style="4" customWidth="1"/>
    <col min="6" max="6" width="10.140625" style="5" customWidth="1"/>
    <col min="7" max="31" width="11.140625" style="5" customWidth="1"/>
    <col min="32" max="32" width="10.42578125" style="5" bestFit="1" customWidth="1"/>
    <col min="33" max="16384" width="9.140625" style="5"/>
  </cols>
  <sheetData>
    <row r="1" spans="1:32" s="8" customFormat="1" x14ac:dyDescent="0.25">
      <c r="A1" s="7" t="s">
        <v>1</v>
      </c>
      <c r="B1" s="7" t="s">
        <v>2</v>
      </c>
      <c r="C1" s="7"/>
      <c r="D1" s="10" t="s">
        <v>0</v>
      </c>
      <c r="E1" s="9">
        <f>EDATE(Jan!E1,1)</f>
        <v>43497</v>
      </c>
    </row>
    <row r="2" spans="1:32" x14ac:dyDescent="0.25">
      <c r="A2" s="7"/>
      <c r="B2" s="7"/>
      <c r="C2" s="7"/>
      <c r="D2" s="6">
        <f>E1</f>
        <v>43497</v>
      </c>
      <c r="E2" s="6">
        <f>D2+1</f>
        <v>43498</v>
      </c>
      <c r="F2" s="6">
        <f>E2+1</f>
        <v>43499</v>
      </c>
      <c r="G2" s="6">
        <f>F2+1</f>
        <v>43500</v>
      </c>
      <c r="H2" s="6">
        <f>G2+1</f>
        <v>43501</v>
      </c>
      <c r="I2" s="6">
        <f t="shared" ref="I2:AF2" si="0">H2+1</f>
        <v>43502</v>
      </c>
      <c r="J2" s="6">
        <f t="shared" si="0"/>
        <v>43503</v>
      </c>
      <c r="K2" s="6">
        <f t="shared" si="0"/>
        <v>43504</v>
      </c>
      <c r="L2" s="6">
        <f t="shared" si="0"/>
        <v>43505</v>
      </c>
      <c r="M2" s="6">
        <f t="shared" si="0"/>
        <v>43506</v>
      </c>
      <c r="N2" s="6">
        <f t="shared" si="0"/>
        <v>43507</v>
      </c>
      <c r="O2" s="6">
        <f t="shared" si="0"/>
        <v>43508</v>
      </c>
      <c r="P2" s="6">
        <f t="shared" si="0"/>
        <v>43509</v>
      </c>
      <c r="Q2" s="6">
        <f t="shared" si="0"/>
        <v>43510</v>
      </c>
      <c r="R2" s="6">
        <f t="shared" si="0"/>
        <v>43511</v>
      </c>
      <c r="S2" s="6">
        <f t="shared" si="0"/>
        <v>43512</v>
      </c>
      <c r="T2" s="6">
        <f t="shared" si="0"/>
        <v>43513</v>
      </c>
      <c r="U2" s="6">
        <f t="shared" si="0"/>
        <v>43514</v>
      </c>
      <c r="V2" s="6">
        <f t="shared" si="0"/>
        <v>43515</v>
      </c>
      <c r="W2" s="6">
        <f t="shared" si="0"/>
        <v>43516</v>
      </c>
      <c r="X2" s="6">
        <f t="shared" si="0"/>
        <v>43517</v>
      </c>
      <c r="Y2" s="6">
        <f t="shared" si="0"/>
        <v>43518</v>
      </c>
      <c r="Z2" s="6">
        <f t="shared" si="0"/>
        <v>43519</v>
      </c>
      <c r="AA2" s="6">
        <f t="shared" si="0"/>
        <v>43520</v>
      </c>
      <c r="AB2" s="6">
        <f t="shared" si="0"/>
        <v>43521</v>
      </c>
      <c r="AC2" s="6">
        <f t="shared" si="0"/>
        <v>43522</v>
      </c>
      <c r="AD2" s="6">
        <f t="shared" si="0"/>
        <v>43523</v>
      </c>
      <c r="AE2" s="6">
        <f t="shared" si="0"/>
        <v>43524</v>
      </c>
      <c r="AF2" s="6">
        <f t="shared" si="0"/>
        <v>43525</v>
      </c>
    </row>
    <row r="3" spans="1:32" x14ac:dyDescent="0.25">
      <c r="A3" s="2"/>
      <c r="B3" s="2"/>
      <c r="C3" s="2"/>
    </row>
    <row r="4" spans="1:32" x14ac:dyDescent="0.25">
      <c r="B4" s="2"/>
      <c r="C4" s="2"/>
    </row>
    <row r="5" spans="1:32" x14ac:dyDescent="0.25">
      <c r="B5" s="2"/>
      <c r="C5" s="2"/>
    </row>
    <row r="6" spans="1:32" x14ac:dyDescent="0.25">
      <c r="B6" s="2"/>
      <c r="C6" s="2"/>
    </row>
    <row r="7" spans="1:32" x14ac:dyDescent="0.25">
      <c r="B7" s="2"/>
      <c r="C7" s="2"/>
    </row>
    <row r="8" spans="1:32" x14ac:dyDescent="0.25">
      <c r="B8" s="2"/>
      <c r="C8" s="2"/>
    </row>
    <row r="9" spans="1:32" x14ac:dyDescent="0.25">
      <c r="B9" s="2"/>
      <c r="C9" s="2"/>
    </row>
    <row r="10" spans="1:32" x14ac:dyDescent="0.25">
      <c r="B10" s="2"/>
      <c r="C10" s="2"/>
    </row>
    <row r="11" spans="1:32" x14ac:dyDescent="0.25">
      <c r="B11" s="2"/>
      <c r="C11" s="2"/>
    </row>
    <row r="12" spans="1:32" x14ac:dyDescent="0.25">
      <c r="B12" s="2"/>
      <c r="C12" s="2"/>
    </row>
    <row r="13" spans="1:32" x14ac:dyDescent="0.25">
      <c r="B13" s="2"/>
      <c r="C13" s="2"/>
    </row>
    <row r="14" spans="1:32" x14ac:dyDescent="0.25">
      <c r="B14" s="2"/>
      <c r="C14" s="2"/>
    </row>
    <row r="15" spans="1:32" x14ac:dyDescent="0.25">
      <c r="B15" s="2"/>
      <c r="C15" s="2"/>
    </row>
    <row r="16" spans="1:32" s="3" customFormat="1" x14ac:dyDescent="0.25">
      <c r="A16" s="1"/>
      <c r="B16" s="2"/>
      <c r="C16" s="2"/>
      <c r="D16" s="4"/>
      <c r="E16" s="4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</row>
  </sheetData>
  <sheetProtection formatCells="0" formatColumns="0" formatRows="0" insertColumns="0" insertRows="0" deleteColumns="0" deleteRows="0"/>
  <dataConsolidate/>
  <conditionalFormatting sqref="H2">
    <cfRule type="expression" dxfId="66" priority="8">
      <formula>IF(WEEKDAY(H2,2)&gt;5,TRUE,FALSE)</formula>
    </cfRule>
  </conditionalFormatting>
  <conditionalFormatting sqref="E2">
    <cfRule type="expression" dxfId="65" priority="7">
      <formula>IF(WEEKDAY(E2,2)&gt;5,TRUE,FALSE)</formula>
    </cfRule>
  </conditionalFormatting>
  <conditionalFormatting sqref="F2">
    <cfRule type="expression" dxfId="64" priority="6">
      <formula>IF(WEEKDAY(F2,2)&gt;5,TRUE,FALSE)</formula>
    </cfRule>
  </conditionalFormatting>
  <conditionalFormatting sqref="G2">
    <cfRule type="expression" dxfId="63" priority="5">
      <formula>IF(WEEKDAY(G2,2)&gt;5,TRUE,FALSE)</formula>
    </cfRule>
  </conditionalFormatting>
  <conditionalFormatting sqref="I2:AE2">
    <cfRule type="expression" dxfId="62" priority="4">
      <formula>IF(WEEKDAY(I2,2)&gt;5,TRUE,FALSE)</formula>
    </cfRule>
  </conditionalFormatting>
  <conditionalFormatting sqref="AF2">
    <cfRule type="expression" dxfId="61" priority="2">
      <formula>IF(WEEKDAY(AF2,2)&gt;5,TRUE,FALSE)</formula>
    </cfRule>
  </conditionalFormatting>
  <conditionalFormatting sqref="D2">
    <cfRule type="expression" dxfId="60" priority="1">
      <formula>IF(WEEKDAY(D2,2)&gt;5,TRUE,FALSE)</formula>
    </cfRule>
  </conditionalFormatting>
  <dataValidations count="2">
    <dataValidation type="list" allowBlank="1" showInputMessage="1" showErrorMessage="1" sqref="A3:A1048576">
      <formula1>MyProjectCodeList</formula1>
    </dataValidation>
    <dataValidation type="list" allowBlank="1" showInputMessage="1" showErrorMessage="1" sqref="B3:B1048576">
      <formula1>OFFSET(MyProjectCodeStart,MATCH(A3, MyProjectCodeColumn, 0) -1, 1, COUNTIF(MyProjectCodeColumn,A3), 1)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H4"/>
  <sheetViews>
    <sheetView zoomScale="130" zoomScaleNormal="13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7" sqref="D7"/>
    </sheetView>
  </sheetViews>
  <sheetFormatPr defaultRowHeight="15" x14ac:dyDescent="0.25"/>
  <cols>
    <col min="1" max="1" width="18.7109375" style="1" customWidth="1"/>
    <col min="2" max="2" width="12.42578125" style="1" bestFit="1" customWidth="1"/>
    <col min="3" max="3" width="2.28515625" style="1" customWidth="1"/>
    <col min="4" max="5" width="10.42578125" style="4" bestFit="1" customWidth="1"/>
    <col min="6" max="6" width="10.140625" style="5" customWidth="1"/>
    <col min="7" max="31" width="11.140625" style="5" customWidth="1"/>
    <col min="32" max="34" width="10.42578125" style="5" bestFit="1" customWidth="1"/>
    <col min="35" max="16384" width="9.140625" style="5"/>
  </cols>
  <sheetData>
    <row r="1" spans="1:34" s="8" customFormat="1" x14ac:dyDescent="0.25">
      <c r="A1" s="7" t="s">
        <v>1</v>
      </c>
      <c r="B1" s="7" t="s">
        <v>2</v>
      </c>
      <c r="C1" s="7"/>
      <c r="D1" s="10" t="s">
        <v>0</v>
      </c>
      <c r="E1" s="9">
        <f>EDATE(Jan!E1,2)</f>
        <v>43525</v>
      </c>
    </row>
    <row r="2" spans="1:34" x14ac:dyDescent="0.25">
      <c r="A2" s="7"/>
      <c r="B2" s="7"/>
      <c r="C2" s="7"/>
      <c r="D2" s="6">
        <f>E1</f>
        <v>43525</v>
      </c>
      <c r="E2" s="6">
        <f>D2+1</f>
        <v>43526</v>
      </c>
      <c r="F2" s="6">
        <f>E2+1</f>
        <v>43527</v>
      </c>
      <c r="G2" s="6">
        <f>F2+1</f>
        <v>43528</v>
      </c>
      <c r="H2" s="6">
        <f>G2+1</f>
        <v>43529</v>
      </c>
      <c r="I2" s="6">
        <f t="shared" ref="I2:AE2" si="0">H2+1</f>
        <v>43530</v>
      </c>
      <c r="J2" s="6">
        <f t="shared" si="0"/>
        <v>43531</v>
      </c>
      <c r="K2" s="6">
        <f t="shared" si="0"/>
        <v>43532</v>
      </c>
      <c r="L2" s="6">
        <f t="shared" si="0"/>
        <v>43533</v>
      </c>
      <c r="M2" s="6">
        <f t="shared" si="0"/>
        <v>43534</v>
      </c>
      <c r="N2" s="6">
        <f t="shared" si="0"/>
        <v>43535</v>
      </c>
      <c r="O2" s="6">
        <f t="shared" si="0"/>
        <v>43536</v>
      </c>
      <c r="P2" s="6">
        <f t="shared" si="0"/>
        <v>43537</v>
      </c>
      <c r="Q2" s="6">
        <f t="shared" si="0"/>
        <v>43538</v>
      </c>
      <c r="R2" s="6">
        <f t="shared" si="0"/>
        <v>43539</v>
      </c>
      <c r="S2" s="6">
        <f t="shared" si="0"/>
        <v>43540</v>
      </c>
      <c r="T2" s="6">
        <f t="shared" si="0"/>
        <v>43541</v>
      </c>
      <c r="U2" s="6">
        <f t="shared" si="0"/>
        <v>43542</v>
      </c>
      <c r="V2" s="6">
        <f t="shared" si="0"/>
        <v>43543</v>
      </c>
      <c r="W2" s="6">
        <f t="shared" si="0"/>
        <v>43544</v>
      </c>
      <c r="X2" s="6">
        <f t="shared" si="0"/>
        <v>43545</v>
      </c>
      <c r="Y2" s="6">
        <f t="shared" si="0"/>
        <v>43546</v>
      </c>
      <c r="Z2" s="6">
        <f t="shared" si="0"/>
        <v>43547</v>
      </c>
      <c r="AA2" s="6">
        <f t="shared" si="0"/>
        <v>43548</v>
      </c>
      <c r="AB2" s="6">
        <f t="shared" si="0"/>
        <v>43549</v>
      </c>
      <c r="AC2" s="6">
        <f t="shared" si="0"/>
        <v>43550</v>
      </c>
      <c r="AD2" s="6">
        <f t="shared" si="0"/>
        <v>43551</v>
      </c>
      <c r="AE2" s="6">
        <f t="shared" si="0"/>
        <v>43552</v>
      </c>
      <c r="AF2" s="6">
        <f t="shared" ref="AF2" si="1">AE2+1</f>
        <v>43553</v>
      </c>
      <c r="AG2" s="6">
        <f t="shared" ref="AG2" si="2">AF2+1</f>
        <v>43554</v>
      </c>
      <c r="AH2" s="6">
        <f t="shared" ref="AH2" si="3">AG2+1</f>
        <v>43555</v>
      </c>
    </row>
    <row r="3" spans="1:34" x14ac:dyDescent="0.25">
      <c r="A3" s="1" t="s">
        <v>3</v>
      </c>
      <c r="B3" s="1" t="s">
        <v>4</v>
      </c>
      <c r="AB3" s="5">
        <v>9</v>
      </c>
    </row>
    <row r="4" spans="1:34" x14ac:dyDescent="0.25">
      <c r="A4" s="2" t="s">
        <v>3</v>
      </c>
      <c r="B4" s="2" t="s">
        <v>15</v>
      </c>
      <c r="C4" s="2"/>
      <c r="AC4" s="5">
        <v>9</v>
      </c>
      <c r="AD4" s="5">
        <v>10</v>
      </c>
      <c r="AE4" s="5">
        <v>9</v>
      </c>
      <c r="AF4" s="5">
        <v>9</v>
      </c>
    </row>
  </sheetData>
  <sheetProtection formatCells="0" formatColumns="0" formatRows="0" insertColumns="0" insertRows="0" deleteColumns="0" deleteRows="0"/>
  <dataConsolidate/>
  <conditionalFormatting sqref="H2">
    <cfRule type="expression" dxfId="59" priority="7">
      <formula>IF(WEEKDAY(H2,2)&gt;5,TRUE,FALSE)</formula>
    </cfRule>
  </conditionalFormatting>
  <conditionalFormatting sqref="E2">
    <cfRule type="expression" dxfId="58" priority="6">
      <formula>IF(WEEKDAY(E2,2)&gt;5,TRUE,FALSE)</formula>
    </cfRule>
  </conditionalFormatting>
  <conditionalFormatting sqref="F2">
    <cfRule type="expression" dxfId="57" priority="5">
      <formula>IF(WEEKDAY(F2,2)&gt;5,TRUE,FALSE)</formula>
    </cfRule>
  </conditionalFormatting>
  <conditionalFormatting sqref="G2">
    <cfRule type="expression" dxfId="56" priority="4">
      <formula>IF(WEEKDAY(G2,2)&gt;5,TRUE,FALSE)</formula>
    </cfRule>
  </conditionalFormatting>
  <conditionalFormatting sqref="I2:AH2">
    <cfRule type="expression" dxfId="55" priority="3">
      <formula>IF(WEEKDAY(I2,2)&gt;5,TRUE,FALSE)</formula>
    </cfRule>
  </conditionalFormatting>
  <conditionalFormatting sqref="D2">
    <cfRule type="expression" dxfId="54" priority="1">
      <formula>IF(WEEKDAY(D2,2)&gt;5,TRUE,FALSE)</formula>
    </cfRule>
  </conditionalFormatting>
  <dataValidations count="2">
    <dataValidation type="list" allowBlank="1" showInputMessage="1" showErrorMessage="1" sqref="A3:A1048576">
      <formula1>MyProjectCodeList</formula1>
    </dataValidation>
    <dataValidation type="list" allowBlank="1" showInputMessage="1" showErrorMessage="1" sqref="B3:B1048576">
      <formula1>OFFSET(MyProjectCodeStart,MATCH(A3, MyProjectCodeColumn, 0) -1, 1, COUNTIF(MyProjectCodeColumn,A3), 1)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I184"/>
  <sheetViews>
    <sheetView tabSelected="1" zoomScale="130" zoomScaleNormal="130" workbookViewId="0">
      <pane xSplit="3" ySplit="2" topLeftCell="AC3" activePane="bottomRight" state="frozen"/>
      <selection pane="topRight" activeCell="D1" sqref="D1"/>
      <selection pane="bottomLeft" activeCell="A3" sqref="A3"/>
      <selection pane="bottomRight" activeCell="AH4" sqref="AH4"/>
    </sheetView>
  </sheetViews>
  <sheetFormatPr defaultColWidth="12" defaultRowHeight="15" x14ac:dyDescent="0.25"/>
  <cols>
    <col min="1" max="1" width="11.85546875" style="1" bestFit="1" customWidth="1"/>
    <col min="2" max="2" width="14.85546875" style="1" bestFit="1" customWidth="1"/>
    <col min="3" max="3" width="12" style="1"/>
    <col min="4" max="5" width="9.85546875" style="4" bestFit="1" customWidth="1"/>
    <col min="6" max="33" width="9.85546875" style="5" bestFit="1" customWidth="1"/>
    <col min="34" max="16384" width="12" style="5"/>
  </cols>
  <sheetData>
    <row r="1" spans="1:35" s="8" customFormat="1" x14ac:dyDescent="0.25">
      <c r="A1" s="7" t="s">
        <v>1</v>
      </c>
      <c r="B1" s="7" t="s">
        <v>2</v>
      </c>
      <c r="C1" s="7"/>
      <c r="D1" s="10" t="s">
        <v>0</v>
      </c>
      <c r="E1" s="9">
        <f>EDATE(Jan!E1,3)</f>
        <v>43556</v>
      </c>
    </row>
    <row r="2" spans="1:35" x14ac:dyDescent="0.25">
      <c r="A2" s="7"/>
      <c r="B2" s="7"/>
      <c r="C2" s="7"/>
      <c r="D2" s="6">
        <f>E1</f>
        <v>43556</v>
      </c>
      <c r="E2" s="6">
        <f>D2+1</f>
        <v>43557</v>
      </c>
      <c r="F2" s="6">
        <f>E2+1</f>
        <v>43558</v>
      </c>
      <c r="G2" s="6">
        <f>F2+1</f>
        <v>43559</v>
      </c>
      <c r="H2" s="6">
        <f>G2+1</f>
        <v>43560</v>
      </c>
      <c r="I2" s="6">
        <f t="shared" ref="I2:AG2" si="0">H2+1</f>
        <v>43561</v>
      </c>
      <c r="J2" s="6">
        <f t="shared" si="0"/>
        <v>43562</v>
      </c>
      <c r="K2" s="6">
        <f t="shared" si="0"/>
        <v>43563</v>
      </c>
      <c r="L2" s="6">
        <f t="shared" si="0"/>
        <v>43564</v>
      </c>
      <c r="M2" s="6">
        <f t="shared" si="0"/>
        <v>43565</v>
      </c>
      <c r="N2" s="6">
        <f t="shared" si="0"/>
        <v>43566</v>
      </c>
      <c r="O2" s="6">
        <f t="shared" si="0"/>
        <v>43567</v>
      </c>
      <c r="P2" s="6">
        <f t="shared" si="0"/>
        <v>43568</v>
      </c>
      <c r="Q2" s="6">
        <f t="shared" si="0"/>
        <v>43569</v>
      </c>
      <c r="R2" s="6">
        <f t="shared" si="0"/>
        <v>43570</v>
      </c>
      <c r="S2" s="6">
        <f t="shared" si="0"/>
        <v>43571</v>
      </c>
      <c r="T2" s="6">
        <f t="shared" si="0"/>
        <v>43572</v>
      </c>
      <c r="U2" s="6">
        <f t="shared" si="0"/>
        <v>43573</v>
      </c>
      <c r="V2" s="6">
        <f t="shared" si="0"/>
        <v>43574</v>
      </c>
      <c r="W2" s="6">
        <f t="shared" si="0"/>
        <v>43575</v>
      </c>
      <c r="X2" s="6">
        <f t="shared" si="0"/>
        <v>43576</v>
      </c>
      <c r="Y2" s="6">
        <f t="shared" si="0"/>
        <v>43577</v>
      </c>
      <c r="Z2" s="6">
        <f t="shared" si="0"/>
        <v>43578</v>
      </c>
      <c r="AA2" s="6">
        <f t="shared" si="0"/>
        <v>43579</v>
      </c>
      <c r="AB2" s="6">
        <f t="shared" si="0"/>
        <v>43580</v>
      </c>
      <c r="AC2" s="6">
        <f t="shared" si="0"/>
        <v>43581</v>
      </c>
      <c r="AD2" s="6">
        <f t="shared" si="0"/>
        <v>43582</v>
      </c>
      <c r="AE2" s="6">
        <f t="shared" si="0"/>
        <v>43583</v>
      </c>
      <c r="AF2" s="6">
        <f t="shared" si="0"/>
        <v>43584</v>
      </c>
      <c r="AG2" s="6">
        <f t="shared" si="0"/>
        <v>43585</v>
      </c>
    </row>
    <row r="3" spans="1:35" x14ac:dyDescent="0.25">
      <c r="A3" s="1" t="s">
        <v>3</v>
      </c>
      <c r="B3" s="1" t="s">
        <v>5</v>
      </c>
      <c r="F3" s="4">
        <v>9</v>
      </c>
      <c r="G3" s="4">
        <v>9</v>
      </c>
      <c r="H3" s="4">
        <v>5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5" x14ac:dyDescent="0.25">
      <c r="A4" s="2" t="s">
        <v>3</v>
      </c>
      <c r="B4" s="2" t="s">
        <v>4</v>
      </c>
      <c r="C4" s="2"/>
      <c r="D4" s="4">
        <v>9</v>
      </c>
      <c r="E4" s="4">
        <v>9</v>
      </c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</row>
    <row r="5" spans="1:35" x14ac:dyDescent="0.25">
      <c r="A5" s="1" t="s">
        <v>3</v>
      </c>
      <c r="B5" s="2" t="s">
        <v>6</v>
      </c>
      <c r="C5" s="2"/>
      <c r="F5" s="4"/>
      <c r="G5" s="4"/>
      <c r="H5" s="4">
        <v>4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</row>
    <row r="6" spans="1:35" x14ac:dyDescent="0.25">
      <c r="A6" s="1" t="s">
        <v>7</v>
      </c>
      <c r="B6" s="2" t="s">
        <v>8</v>
      </c>
      <c r="C6" s="2"/>
      <c r="F6" s="4"/>
      <c r="G6" s="4"/>
      <c r="H6" s="4"/>
      <c r="I6" s="4"/>
      <c r="J6" s="4"/>
      <c r="K6" s="4">
        <v>9</v>
      </c>
      <c r="L6" s="4">
        <v>9</v>
      </c>
      <c r="M6" s="4">
        <v>9</v>
      </c>
      <c r="N6" s="4">
        <v>9</v>
      </c>
      <c r="O6" s="4">
        <v>9</v>
      </c>
      <c r="P6" s="4"/>
      <c r="Q6" s="4"/>
      <c r="R6" s="4">
        <v>10</v>
      </c>
      <c r="S6" s="4">
        <v>9</v>
      </c>
      <c r="T6" s="4">
        <v>9</v>
      </c>
      <c r="U6" s="4"/>
      <c r="V6" s="4"/>
      <c r="W6" s="4"/>
      <c r="X6" s="4"/>
      <c r="Y6" s="4"/>
      <c r="Z6" s="4">
        <v>5</v>
      </c>
      <c r="AA6" s="4">
        <v>9</v>
      </c>
      <c r="AB6" s="4"/>
      <c r="AC6" s="4">
        <v>4.5</v>
      </c>
      <c r="AD6" s="4"/>
      <c r="AE6" s="4"/>
      <c r="AF6" s="4">
        <v>9</v>
      </c>
      <c r="AG6" s="4">
        <v>9</v>
      </c>
      <c r="AH6" s="4"/>
      <c r="AI6" s="4"/>
    </row>
    <row r="7" spans="1:35" x14ac:dyDescent="0.25">
      <c r="A7" s="1" t="s">
        <v>9</v>
      </c>
      <c r="B7" s="2" t="s">
        <v>10</v>
      </c>
      <c r="C7" s="2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>
        <v>9</v>
      </c>
      <c r="V7" s="4">
        <v>9</v>
      </c>
      <c r="W7" s="4"/>
      <c r="X7" s="4"/>
      <c r="Y7" s="4"/>
      <c r="Z7" s="4"/>
      <c r="AA7" s="4"/>
      <c r="AB7" s="4"/>
      <c r="AC7" s="4"/>
      <c r="AD7" s="4"/>
      <c r="AE7" s="4"/>
      <c r="AH7" s="4"/>
      <c r="AI7" s="4"/>
    </row>
    <row r="8" spans="1:35" x14ac:dyDescent="0.25">
      <c r="A8" s="1" t="s">
        <v>3</v>
      </c>
      <c r="B8" s="2" t="s">
        <v>5</v>
      </c>
      <c r="C8" s="2"/>
      <c r="P8" s="4"/>
      <c r="Q8" s="4"/>
      <c r="R8" s="4"/>
      <c r="S8" s="4"/>
      <c r="T8" s="4"/>
      <c r="U8" s="4"/>
      <c r="V8" s="4"/>
      <c r="W8" s="4"/>
      <c r="X8" s="4"/>
      <c r="Y8" s="4">
        <v>10</v>
      </c>
      <c r="Z8" s="4">
        <v>4</v>
      </c>
      <c r="AA8" s="4"/>
      <c r="AB8" s="4">
        <v>9</v>
      </c>
      <c r="AD8" s="4"/>
      <c r="AE8" s="4"/>
      <c r="AF8" s="4"/>
      <c r="AG8" s="4"/>
    </row>
    <row r="9" spans="1:35" x14ac:dyDescent="0.25">
      <c r="A9" s="1" t="s">
        <v>3</v>
      </c>
      <c r="B9" s="2" t="s">
        <v>6</v>
      </c>
      <c r="C9" s="2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>
        <v>4.5</v>
      </c>
      <c r="AD9" s="4"/>
      <c r="AE9" s="4"/>
      <c r="AF9" s="4"/>
      <c r="AG9" s="4"/>
    </row>
    <row r="10" spans="1:35" x14ac:dyDescent="0.25">
      <c r="B10" s="2"/>
      <c r="C10" s="2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</row>
    <row r="11" spans="1:35" x14ac:dyDescent="0.25">
      <c r="B11" s="2"/>
      <c r="C11" s="2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</row>
    <row r="12" spans="1:35" x14ac:dyDescent="0.25">
      <c r="B12" s="2"/>
      <c r="C12" s="2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</row>
    <row r="13" spans="1:35" x14ac:dyDescent="0.25">
      <c r="B13" s="2"/>
      <c r="C13" s="2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</row>
    <row r="14" spans="1:35" x14ac:dyDescent="0.25">
      <c r="B14" s="2"/>
      <c r="C14" s="2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</row>
    <row r="15" spans="1:35" x14ac:dyDescent="0.25">
      <c r="B15" s="2"/>
      <c r="C15" s="2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</row>
    <row r="16" spans="1:35" x14ac:dyDescent="0.25">
      <c r="B16" s="2"/>
      <c r="C16" s="2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</row>
    <row r="17" spans="16:33" x14ac:dyDescent="0.25"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</row>
    <row r="18" spans="16:33" x14ac:dyDescent="0.25"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</row>
    <row r="19" spans="16:33" x14ac:dyDescent="0.25"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</row>
    <row r="20" spans="16:33" x14ac:dyDescent="0.25"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</row>
    <row r="21" spans="16:33" x14ac:dyDescent="0.25"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</row>
    <row r="22" spans="16:33" x14ac:dyDescent="0.25"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</row>
    <row r="23" spans="16:33" x14ac:dyDescent="0.25"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</row>
    <row r="24" spans="16:33" x14ac:dyDescent="0.25"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</row>
    <row r="25" spans="16:33" x14ac:dyDescent="0.25"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</row>
    <row r="26" spans="16:33" x14ac:dyDescent="0.25"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</row>
    <row r="27" spans="16:33" x14ac:dyDescent="0.25"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6:33" x14ac:dyDescent="0.25"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6:33" x14ac:dyDescent="0.25"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  <row r="30" spans="16:33" x14ac:dyDescent="0.25"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</row>
    <row r="31" spans="16:33" x14ac:dyDescent="0.25"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</row>
    <row r="32" spans="16:33" x14ac:dyDescent="0.25"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</row>
    <row r="33" spans="16:33" x14ac:dyDescent="0.25"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</row>
    <row r="34" spans="16:33" x14ac:dyDescent="0.25"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</row>
    <row r="35" spans="16:33" x14ac:dyDescent="0.25"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</row>
    <row r="36" spans="16:33" x14ac:dyDescent="0.25"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</row>
    <row r="37" spans="16:33" x14ac:dyDescent="0.25"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</row>
    <row r="38" spans="16:33" x14ac:dyDescent="0.25"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</row>
    <row r="39" spans="16:33" x14ac:dyDescent="0.25"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</row>
    <row r="40" spans="16:33" x14ac:dyDescent="0.25"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</row>
    <row r="41" spans="16:33" x14ac:dyDescent="0.25"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</row>
    <row r="42" spans="16:33" x14ac:dyDescent="0.25"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</row>
    <row r="43" spans="16:33" x14ac:dyDescent="0.25"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</row>
    <row r="44" spans="16:33" x14ac:dyDescent="0.25"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</row>
    <row r="45" spans="16:33" x14ac:dyDescent="0.25"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</row>
    <row r="46" spans="16:33" x14ac:dyDescent="0.25"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</row>
    <row r="47" spans="16:33" x14ac:dyDescent="0.25"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</row>
    <row r="48" spans="16:33" x14ac:dyDescent="0.25"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</row>
    <row r="49" spans="16:33" x14ac:dyDescent="0.25"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</row>
    <row r="50" spans="16:33" x14ac:dyDescent="0.25"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</row>
    <row r="51" spans="16:33" x14ac:dyDescent="0.25"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</row>
    <row r="52" spans="16:33" x14ac:dyDescent="0.25"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</row>
    <row r="53" spans="16:33" x14ac:dyDescent="0.25"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</row>
    <row r="54" spans="16:33" x14ac:dyDescent="0.25"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</row>
    <row r="55" spans="16:33" x14ac:dyDescent="0.25"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</row>
    <row r="56" spans="16:33" x14ac:dyDescent="0.25"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</row>
    <row r="57" spans="16:33" x14ac:dyDescent="0.25"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</row>
    <row r="58" spans="16:33" x14ac:dyDescent="0.25"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</row>
    <row r="59" spans="16:33" x14ac:dyDescent="0.25"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</row>
    <row r="60" spans="16:33" x14ac:dyDescent="0.25"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</row>
    <row r="61" spans="16:33" x14ac:dyDescent="0.25"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</row>
    <row r="62" spans="16:33" x14ac:dyDescent="0.25"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</row>
    <row r="63" spans="16:33" x14ac:dyDescent="0.25"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</row>
    <row r="64" spans="16:33" x14ac:dyDescent="0.25"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</row>
    <row r="65" spans="16:33" x14ac:dyDescent="0.25"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</row>
    <row r="66" spans="16:33" x14ac:dyDescent="0.25"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</row>
    <row r="67" spans="16:33" x14ac:dyDescent="0.25"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</row>
    <row r="68" spans="16:33" x14ac:dyDescent="0.25"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</row>
    <row r="69" spans="16:33" x14ac:dyDescent="0.25"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</row>
    <row r="70" spans="16:33" x14ac:dyDescent="0.25"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</row>
    <row r="71" spans="16:33" x14ac:dyDescent="0.25"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</row>
    <row r="72" spans="16:33" x14ac:dyDescent="0.25"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</row>
    <row r="73" spans="16:33" x14ac:dyDescent="0.25"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</row>
    <row r="74" spans="16:33" x14ac:dyDescent="0.25"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</row>
    <row r="75" spans="16:33" x14ac:dyDescent="0.25"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</row>
    <row r="76" spans="16:33" x14ac:dyDescent="0.25"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</row>
    <row r="77" spans="16:33" x14ac:dyDescent="0.25"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</row>
    <row r="78" spans="16:33" x14ac:dyDescent="0.25"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</row>
    <row r="79" spans="16:33" x14ac:dyDescent="0.25"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</row>
    <row r="80" spans="16:33" x14ac:dyDescent="0.25"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</row>
    <row r="81" spans="16:33" x14ac:dyDescent="0.25"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</row>
    <row r="82" spans="16:33" x14ac:dyDescent="0.25"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</row>
    <row r="83" spans="16:33" x14ac:dyDescent="0.25"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</row>
    <row r="84" spans="16:33" x14ac:dyDescent="0.25"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</row>
    <row r="85" spans="16:33" x14ac:dyDescent="0.25"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</row>
    <row r="86" spans="16:33" x14ac:dyDescent="0.25"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</row>
    <row r="87" spans="16:33" x14ac:dyDescent="0.25"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</row>
    <row r="88" spans="16:33" x14ac:dyDescent="0.25"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</row>
    <row r="89" spans="16:33" x14ac:dyDescent="0.25"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</row>
    <row r="90" spans="16:33" x14ac:dyDescent="0.25"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</row>
    <row r="91" spans="16:33" x14ac:dyDescent="0.25"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</row>
    <row r="92" spans="16:33" x14ac:dyDescent="0.25"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</row>
    <row r="93" spans="16:33" x14ac:dyDescent="0.25"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</row>
    <row r="94" spans="16:33" x14ac:dyDescent="0.25"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</row>
    <row r="95" spans="16:33" x14ac:dyDescent="0.25"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</row>
    <row r="96" spans="16:33" x14ac:dyDescent="0.25"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</row>
    <row r="97" spans="16:33" x14ac:dyDescent="0.25"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</row>
    <row r="98" spans="16:33" x14ac:dyDescent="0.25"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</row>
    <row r="99" spans="16:33" x14ac:dyDescent="0.25"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</row>
    <row r="100" spans="16:33" x14ac:dyDescent="0.25"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</row>
    <row r="101" spans="16:33" x14ac:dyDescent="0.25"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</row>
    <row r="102" spans="16:33" x14ac:dyDescent="0.25"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</row>
    <row r="103" spans="16:33" x14ac:dyDescent="0.25"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</row>
    <row r="104" spans="16:33" x14ac:dyDescent="0.25"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</row>
    <row r="105" spans="16:33" x14ac:dyDescent="0.25"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</row>
    <row r="106" spans="16:33" x14ac:dyDescent="0.25"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</row>
    <row r="107" spans="16:33" x14ac:dyDescent="0.25"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</row>
    <row r="108" spans="16:33" x14ac:dyDescent="0.25"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</row>
    <row r="109" spans="16:33" x14ac:dyDescent="0.25"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</row>
    <row r="110" spans="16:33" x14ac:dyDescent="0.25"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</row>
    <row r="111" spans="16:33" x14ac:dyDescent="0.25"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</row>
    <row r="112" spans="16:33" x14ac:dyDescent="0.25"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</row>
    <row r="113" spans="16:33" x14ac:dyDescent="0.25"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</row>
    <row r="114" spans="16:33" x14ac:dyDescent="0.25"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</row>
    <row r="115" spans="16:33" x14ac:dyDescent="0.25"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</row>
    <row r="116" spans="16:33" x14ac:dyDescent="0.25"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</row>
    <row r="117" spans="16:33" x14ac:dyDescent="0.25"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</row>
    <row r="118" spans="16:33" x14ac:dyDescent="0.25"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</row>
    <row r="119" spans="16:33" x14ac:dyDescent="0.25"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</row>
    <row r="120" spans="16:33" x14ac:dyDescent="0.25"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</row>
    <row r="121" spans="16:33" x14ac:dyDescent="0.25"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</row>
    <row r="122" spans="16:33" x14ac:dyDescent="0.25"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</row>
    <row r="123" spans="16:33" x14ac:dyDescent="0.25"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</row>
    <row r="124" spans="16:33" x14ac:dyDescent="0.25"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</row>
    <row r="125" spans="16:33" x14ac:dyDescent="0.25"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</row>
    <row r="126" spans="16:33" x14ac:dyDescent="0.25"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</row>
    <row r="127" spans="16:33" x14ac:dyDescent="0.25"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</row>
    <row r="128" spans="16:33" x14ac:dyDescent="0.25"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</row>
    <row r="129" spans="16:33" x14ac:dyDescent="0.25"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</row>
    <row r="130" spans="16:33" x14ac:dyDescent="0.25"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</row>
    <row r="131" spans="16:33" x14ac:dyDescent="0.25"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</row>
    <row r="132" spans="16:33" x14ac:dyDescent="0.25"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</row>
    <row r="133" spans="16:33" x14ac:dyDescent="0.25"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</row>
    <row r="134" spans="16:33" x14ac:dyDescent="0.25"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</row>
    <row r="135" spans="16:33" x14ac:dyDescent="0.25"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</row>
    <row r="136" spans="16:33" x14ac:dyDescent="0.25"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</row>
    <row r="137" spans="16:33" x14ac:dyDescent="0.25"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</row>
    <row r="138" spans="16:33" x14ac:dyDescent="0.25"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</row>
    <row r="139" spans="16:33" x14ac:dyDescent="0.25"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</row>
    <row r="140" spans="16:33" x14ac:dyDescent="0.25"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</row>
    <row r="141" spans="16:33" x14ac:dyDescent="0.25"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</row>
    <row r="142" spans="16:33" x14ac:dyDescent="0.25"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</row>
    <row r="143" spans="16:33" x14ac:dyDescent="0.25"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</row>
    <row r="144" spans="16:33" x14ac:dyDescent="0.25"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</row>
    <row r="145" spans="16:33" x14ac:dyDescent="0.25"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</row>
    <row r="146" spans="16:33" x14ac:dyDescent="0.25"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</row>
    <row r="147" spans="16:33" x14ac:dyDescent="0.25"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</row>
    <row r="148" spans="16:33" x14ac:dyDescent="0.25"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</row>
    <row r="149" spans="16:33" x14ac:dyDescent="0.25"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</row>
    <row r="150" spans="16:33" x14ac:dyDescent="0.25"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</row>
    <row r="151" spans="16:33" x14ac:dyDescent="0.25"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</row>
    <row r="152" spans="16:33" x14ac:dyDescent="0.25"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</row>
    <row r="153" spans="16:33" x14ac:dyDescent="0.25"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</row>
    <row r="154" spans="16:33" x14ac:dyDescent="0.25"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</row>
    <row r="155" spans="16:33" x14ac:dyDescent="0.25"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</row>
    <row r="156" spans="16:33" x14ac:dyDescent="0.25"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</row>
    <row r="157" spans="16:33" x14ac:dyDescent="0.25"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</row>
    <row r="158" spans="16:33" x14ac:dyDescent="0.25"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</row>
    <row r="159" spans="16:33" x14ac:dyDescent="0.25"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</row>
    <row r="160" spans="16:33" x14ac:dyDescent="0.25"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</row>
    <row r="161" spans="16:33" x14ac:dyDescent="0.25"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</row>
    <row r="162" spans="16:33" x14ac:dyDescent="0.25"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</row>
    <row r="163" spans="16:33" x14ac:dyDescent="0.25"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</row>
    <row r="164" spans="16:33" x14ac:dyDescent="0.25"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</row>
    <row r="165" spans="16:33" x14ac:dyDescent="0.25"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</row>
    <row r="166" spans="16:33" x14ac:dyDescent="0.25"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</row>
    <row r="167" spans="16:33" x14ac:dyDescent="0.25"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</row>
    <row r="168" spans="16:33" x14ac:dyDescent="0.25"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</row>
    <row r="169" spans="16:33" x14ac:dyDescent="0.25"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</row>
    <row r="170" spans="16:33" x14ac:dyDescent="0.25"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</row>
    <row r="171" spans="16:33" x14ac:dyDescent="0.25"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</row>
    <row r="172" spans="16:33" x14ac:dyDescent="0.25"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</row>
    <row r="173" spans="16:33" x14ac:dyDescent="0.25"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</row>
    <row r="174" spans="16:33" x14ac:dyDescent="0.25"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</row>
    <row r="175" spans="16:33" x14ac:dyDescent="0.25"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</row>
    <row r="176" spans="16:33" x14ac:dyDescent="0.25"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</row>
    <row r="177" spans="16:33" x14ac:dyDescent="0.25"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</row>
    <row r="178" spans="16:33" x14ac:dyDescent="0.25"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</row>
    <row r="179" spans="16:33" x14ac:dyDescent="0.25"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</row>
    <row r="180" spans="16:33" x14ac:dyDescent="0.25"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</row>
    <row r="181" spans="16:33" x14ac:dyDescent="0.25"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</row>
    <row r="182" spans="16:33" x14ac:dyDescent="0.25"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</row>
    <row r="183" spans="16:33" x14ac:dyDescent="0.25"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</row>
    <row r="184" spans="16:33" x14ac:dyDescent="0.25"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</row>
  </sheetData>
  <sheetProtection formatCells="0" formatColumns="0" formatRows="0" insertColumns="0" insertRows="0" deleteColumns="0" deleteRows="0"/>
  <dataConsolidate/>
  <conditionalFormatting sqref="H2">
    <cfRule type="expression" dxfId="53" priority="8">
      <formula>IF(WEEKDAY(H2,2)&gt;5,TRUE,FALSE)</formula>
    </cfRule>
  </conditionalFormatting>
  <conditionalFormatting sqref="E2">
    <cfRule type="expression" dxfId="52" priority="7">
      <formula>IF(WEEKDAY(E2,2)&gt;5,TRUE,FALSE)</formula>
    </cfRule>
  </conditionalFormatting>
  <conditionalFormatting sqref="F2">
    <cfRule type="expression" dxfId="51" priority="6">
      <formula>IF(WEEKDAY(F2,2)&gt;5,TRUE,FALSE)</formula>
    </cfRule>
  </conditionalFormatting>
  <conditionalFormatting sqref="G2">
    <cfRule type="expression" dxfId="50" priority="5">
      <formula>IF(WEEKDAY(G2,2)&gt;5,TRUE,FALSE)</formula>
    </cfRule>
  </conditionalFormatting>
  <conditionalFormatting sqref="I2:AG2">
    <cfRule type="expression" dxfId="49" priority="4">
      <formula>IF(WEEKDAY(I2,2)&gt;5,TRUE,FALSE)</formula>
    </cfRule>
  </conditionalFormatting>
  <conditionalFormatting sqref="D2">
    <cfRule type="expression" dxfId="48" priority="1">
      <formula>IF(WEEKDAY(D2,2)&gt;5,TRUE,FALSE)</formula>
    </cfRule>
  </conditionalFormatting>
  <dataValidations count="2">
    <dataValidation type="list" allowBlank="1" showInputMessage="1" showErrorMessage="1" sqref="A3:A1048576">
      <formula1>MyProjectCodeList</formula1>
    </dataValidation>
    <dataValidation type="list" allowBlank="1" showInputMessage="1" showErrorMessage="1" sqref="B3:B1048576">
      <formula1>OFFSET(MyProjectCodeStart,MATCH(A3, MyProjectCodeColumn, 0) -1, 1, COUNTIF(MyProjectCodeColumn,A3), 1)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16"/>
  <sheetViews>
    <sheetView zoomScale="130" zoomScaleNormal="130" workbookViewId="0">
      <pane xSplit="3" ySplit="2" topLeftCell="D6" activePane="bottomRight" state="frozen"/>
      <selection pane="topRight" activeCell="D1" sqref="D1"/>
      <selection pane="bottomLeft" activeCell="A3" sqref="A3"/>
      <selection pane="bottomRight" activeCell="A8" sqref="A8:XFD17"/>
    </sheetView>
  </sheetViews>
  <sheetFormatPr defaultRowHeight="15" x14ac:dyDescent="0.25"/>
  <cols>
    <col min="1" max="1" width="11.85546875" style="1" bestFit="1" customWidth="1"/>
    <col min="2" max="2" width="18.7109375" style="1" bestFit="1" customWidth="1"/>
    <col min="3" max="3" width="2.7109375" style="1" customWidth="1"/>
    <col min="4" max="5" width="10.5703125" style="4" bestFit="1" customWidth="1"/>
    <col min="6" max="34" width="10.5703125" style="5" bestFit="1" customWidth="1"/>
    <col min="35" max="16384" width="9.140625" style="5"/>
  </cols>
  <sheetData>
    <row r="1" spans="1:34" s="8" customFormat="1" x14ac:dyDescent="0.25">
      <c r="A1" s="7" t="s">
        <v>1</v>
      </c>
      <c r="B1" s="7" t="s">
        <v>2</v>
      </c>
      <c r="C1" s="7"/>
      <c r="D1" s="10" t="s">
        <v>0</v>
      </c>
      <c r="E1" s="9">
        <f>EDATE(Jan!E1,4)</f>
        <v>43586</v>
      </c>
    </row>
    <row r="2" spans="1:34" x14ac:dyDescent="0.25">
      <c r="A2" s="7"/>
      <c r="B2" s="7"/>
      <c r="C2" s="7"/>
      <c r="D2" s="6">
        <f>E1</f>
        <v>43586</v>
      </c>
      <c r="E2" s="6">
        <f>D2+1</f>
        <v>43587</v>
      </c>
      <c r="F2" s="6">
        <f>E2+1</f>
        <v>43588</v>
      </c>
      <c r="G2" s="6">
        <f>F2+1</f>
        <v>43589</v>
      </c>
      <c r="H2" s="6">
        <f>G2+1</f>
        <v>43590</v>
      </c>
      <c r="I2" s="6">
        <f t="shared" ref="I2:AH2" si="0">H2+1</f>
        <v>43591</v>
      </c>
      <c r="J2" s="6">
        <f t="shared" si="0"/>
        <v>43592</v>
      </c>
      <c r="K2" s="6">
        <f t="shared" si="0"/>
        <v>43593</v>
      </c>
      <c r="L2" s="6">
        <f t="shared" si="0"/>
        <v>43594</v>
      </c>
      <c r="M2" s="6">
        <f t="shared" si="0"/>
        <v>43595</v>
      </c>
      <c r="N2" s="6">
        <f t="shared" si="0"/>
        <v>43596</v>
      </c>
      <c r="O2" s="6">
        <f t="shared" si="0"/>
        <v>43597</v>
      </c>
      <c r="P2" s="6">
        <f t="shared" si="0"/>
        <v>43598</v>
      </c>
      <c r="Q2" s="6">
        <f t="shared" si="0"/>
        <v>43599</v>
      </c>
      <c r="R2" s="6">
        <f t="shared" si="0"/>
        <v>43600</v>
      </c>
      <c r="S2" s="6">
        <f t="shared" si="0"/>
        <v>43601</v>
      </c>
      <c r="T2" s="6">
        <f t="shared" si="0"/>
        <v>43602</v>
      </c>
      <c r="U2" s="6">
        <f t="shared" si="0"/>
        <v>43603</v>
      </c>
      <c r="V2" s="6">
        <f t="shared" si="0"/>
        <v>43604</v>
      </c>
      <c r="W2" s="6">
        <f t="shared" si="0"/>
        <v>43605</v>
      </c>
      <c r="X2" s="6">
        <f t="shared" si="0"/>
        <v>43606</v>
      </c>
      <c r="Y2" s="6">
        <f t="shared" si="0"/>
        <v>43607</v>
      </c>
      <c r="Z2" s="6">
        <f t="shared" si="0"/>
        <v>43608</v>
      </c>
      <c r="AA2" s="6">
        <f t="shared" si="0"/>
        <v>43609</v>
      </c>
      <c r="AB2" s="6">
        <f t="shared" si="0"/>
        <v>43610</v>
      </c>
      <c r="AC2" s="6">
        <f t="shared" si="0"/>
        <v>43611</v>
      </c>
      <c r="AD2" s="6">
        <f t="shared" si="0"/>
        <v>43612</v>
      </c>
      <c r="AE2" s="6">
        <f t="shared" si="0"/>
        <v>43613</v>
      </c>
      <c r="AF2" s="6">
        <f t="shared" si="0"/>
        <v>43614</v>
      </c>
      <c r="AG2" s="6">
        <f t="shared" si="0"/>
        <v>43615</v>
      </c>
      <c r="AH2" s="6">
        <f t="shared" si="0"/>
        <v>43616</v>
      </c>
    </row>
    <row r="3" spans="1:34" x14ac:dyDescent="0.25">
      <c r="A3" s="2" t="s">
        <v>9</v>
      </c>
      <c r="B3" s="2" t="s">
        <v>10</v>
      </c>
      <c r="C3" s="2"/>
      <c r="D3" s="4">
        <v>9</v>
      </c>
    </row>
    <row r="4" spans="1:34" x14ac:dyDescent="0.25">
      <c r="A4" s="1" t="s">
        <v>7</v>
      </c>
      <c r="B4" s="2" t="s">
        <v>8</v>
      </c>
      <c r="C4" s="2"/>
      <c r="E4" s="4">
        <v>9</v>
      </c>
      <c r="F4" s="4">
        <v>9</v>
      </c>
      <c r="M4" s="4">
        <v>7</v>
      </c>
    </row>
    <row r="5" spans="1:34" x14ac:dyDescent="0.25">
      <c r="A5" s="1" t="s">
        <v>11</v>
      </c>
      <c r="B5" s="2" t="s">
        <v>12</v>
      </c>
      <c r="C5" s="2"/>
      <c r="I5" s="4">
        <v>9</v>
      </c>
      <c r="J5" s="4">
        <v>4.5</v>
      </c>
      <c r="K5" s="4">
        <v>4.5</v>
      </c>
      <c r="L5" s="4">
        <v>4.5</v>
      </c>
      <c r="M5" s="4">
        <v>1</v>
      </c>
    </row>
    <row r="6" spans="1:34" x14ac:dyDescent="0.25">
      <c r="A6" s="1" t="s">
        <v>3</v>
      </c>
      <c r="B6" s="2" t="s">
        <v>13</v>
      </c>
      <c r="C6" s="2"/>
      <c r="K6" s="4">
        <v>4.5</v>
      </c>
      <c r="L6" s="4">
        <v>5.5</v>
      </c>
      <c r="M6" s="4">
        <v>2</v>
      </c>
    </row>
    <row r="7" spans="1:34" x14ac:dyDescent="0.25">
      <c r="A7" s="1" t="s">
        <v>9</v>
      </c>
      <c r="B7" s="2" t="s">
        <v>14</v>
      </c>
      <c r="C7" s="2"/>
      <c r="J7" s="4">
        <v>4.5</v>
      </c>
    </row>
    <row r="8" spans="1:34" x14ac:dyDescent="0.25">
      <c r="B8" s="2"/>
      <c r="C8" s="2"/>
    </row>
    <row r="9" spans="1:34" x14ac:dyDescent="0.25">
      <c r="B9" s="2"/>
      <c r="C9" s="2"/>
    </row>
    <row r="10" spans="1:34" x14ac:dyDescent="0.25">
      <c r="B10" s="2"/>
      <c r="C10" s="2"/>
    </row>
    <row r="11" spans="1:34" x14ac:dyDescent="0.25">
      <c r="B11" s="2"/>
      <c r="C11" s="2"/>
    </row>
    <row r="12" spans="1:34" x14ac:dyDescent="0.25">
      <c r="B12" s="2"/>
      <c r="C12" s="2"/>
    </row>
    <row r="13" spans="1:34" x14ac:dyDescent="0.25">
      <c r="B13" s="2"/>
      <c r="C13" s="2"/>
    </row>
    <row r="14" spans="1:34" x14ac:dyDescent="0.25">
      <c r="B14" s="2"/>
      <c r="C14" s="2"/>
    </row>
    <row r="15" spans="1:34" x14ac:dyDescent="0.25">
      <c r="B15" s="2"/>
      <c r="C15" s="2"/>
    </row>
    <row r="16" spans="1:34" s="3" customFormat="1" x14ac:dyDescent="0.25">
      <c r="A16" s="1"/>
      <c r="B16" s="2"/>
      <c r="C16" s="2"/>
      <c r="D16" s="4"/>
      <c r="E16" s="4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</row>
  </sheetData>
  <sheetProtection formatCells="0" formatColumns="0" formatRows="0" insertColumns="0" insertRows="0" deleteColumns="0" deleteRows="0"/>
  <dataConsolidate/>
  <conditionalFormatting sqref="H2">
    <cfRule type="expression" dxfId="47" priority="7">
      <formula>IF(WEEKDAY(H2,2)&gt;5,TRUE,FALSE)</formula>
    </cfRule>
  </conditionalFormatting>
  <conditionalFormatting sqref="E2">
    <cfRule type="expression" dxfId="46" priority="6">
      <formula>IF(WEEKDAY(E2,2)&gt;5,TRUE,FALSE)</formula>
    </cfRule>
  </conditionalFormatting>
  <conditionalFormatting sqref="F2">
    <cfRule type="expression" dxfId="45" priority="5">
      <formula>IF(WEEKDAY(F2,2)&gt;5,TRUE,FALSE)</formula>
    </cfRule>
  </conditionalFormatting>
  <conditionalFormatting sqref="G2">
    <cfRule type="expression" dxfId="44" priority="4">
      <formula>IF(WEEKDAY(G2,2)&gt;5,TRUE,FALSE)</formula>
    </cfRule>
  </conditionalFormatting>
  <conditionalFormatting sqref="I2:AH2">
    <cfRule type="expression" dxfId="43" priority="3">
      <formula>IF(WEEKDAY(I2,2)&gt;5,TRUE,FALSE)</formula>
    </cfRule>
  </conditionalFormatting>
  <conditionalFormatting sqref="D2">
    <cfRule type="expression" dxfId="42" priority="1">
      <formula>IF(WEEKDAY(D2,2)&gt;5,TRUE,FALSE)</formula>
    </cfRule>
  </conditionalFormatting>
  <dataValidations count="2">
    <dataValidation type="list" allowBlank="1" showInputMessage="1" showErrorMessage="1" sqref="A3:A1048576">
      <formula1>MyProjectCodeList</formula1>
    </dataValidation>
    <dataValidation type="list" allowBlank="1" showInputMessage="1" showErrorMessage="1" sqref="B3:B1048576">
      <formula1>OFFSET(MyProjectCodeStart,MATCH(A3, MyProjectCodeColumn, 0) -1, 1, COUNTIF(MyProjectCodeColumn,A3), 1)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H16"/>
  <sheetViews>
    <sheetView zoomScale="130" zoomScaleNormal="13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5" x14ac:dyDescent="0.25"/>
  <cols>
    <col min="1" max="1" width="18.7109375" style="1" customWidth="1"/>
    <col min="2" max="2" width="13.42578125" style="1" customWidth="1"/>
    <col min="3" max="3" width="2.7109375" style="1" customWidth="1"/>
    <col min="4" max="5" width="10.42578125" style="4" bestFit="1" customWidth="1"/>
    <col min="6" max="6" width="10.5703125" style="5" bestFit="1" customWidth="1"/>
    <col min="7" max="31" width="11.140625" style="5" customWidth="1"/>
    <col min="32" max="33" width="10.42578125" style="5" bestFit="1" customWidth="1"/>
    <col min="34" max="34" width="10.5703125" style="5" bestFit="1" customWidth="1"/>
    <col min="35" max="16384" width="9.140625" style="5"/>
  </cols>
  <sheetData>
    <row r="1" spans="1:34" s="8" customFormat="1" x14ac:dyDescent="0.25">
      <c r="A1" s="7" t="s">
        <v>1</v>
      </c>
      <c r="B1" s="7" t="s">
        <v>2</v>
      </c>
      <c r="C1" s="7"/>
      <c r="D1" s="10" t="s">
        <v>0</v>
      </c>
      <c r="E1" s="9">
        <f>EDATE(Jan!E1,5)</f>
        <v>43617</v>
      </c>
    </row>
    <row r="2" spans="1:34" x14ac:dyDescent="0.25">
      <c r="A2" s="7"/>
      <c r="B2" s="7"/>
      <c r="C2" s="7"/>
      <c r="D2" s="6">
        <f>E1</f>
        <v>43617</v>
      </c>
      <c r="E2" s="6">
        <f>D2+1</f>
        <v>43618</v>
      </c>
      <c r="F2" s="6">
        <f>E2+1</f>
        <v>43619</v>
      </c>
      <c r="G2" s="6">
        <f>F2+1</f>
        <v>43620</v>
      </c>
      <c r="H2" s="6">
        <f>G2+1</f>
        <v>43621</v>
      </c>
      <c r="I2" s="6">
        <f t="shared" ref="I2:AH2" si="0">H2+1</f>
        <v>43622</v>
      </c>
      <c r="J2" s="6">
        <f t="shared" si="0"/>
        <v>43623</v>
      </c>
      <c r="K2" s="6">
        <f t="shared" si="0"/>
        <v>43624</v>
      </c>
      <c r="L2" s="6">
        <f t="shared" si="0"/>
        <v>43625</v>
      </c>
      <c r="M2" s="6">
        <f t="shared" si="0"/>
        <v>43626</v>
      </c>
      <c r="N2" s="6">
        <f t="shared" si="0"/>
        <v>43627</v>
      </c>
      <c r="O2" s="6">
        <f t="shared" si="0"/>
        <v>43628</v>
      </c>
      <c r="P2" s="6">
        <f t="shared" si="0"/>
        <v>43629</v>
      </c>
      <c r="Q2" s="6">
        <f t="shared" si="0"/>
        <v>43630</v>
      </c>
      <c r="R2" s="6">
        <f t="shared" si="0"/>
        <v>43631</v>
      </c>
      <c r="S2" s="6">
        <f t="shared" si="0"/>
        <v>43632</v>
      </c>
      <c r="T2" s="6">
        <f t="shared" si="0"/>
        <v>43633</v>
      </c>
      <c r="U2" s="6">
        <f t="shared" si="0"/>
        <v>43634</v>
      </c>
      <c r="V2" s="6">
        <f t="shared" si="0"/>
        <v>43635</v>
      </c>
      <c r="W2" s="6">
        <f t="shared" si="0"/>
        <v>43636</v>
      </c>
      <c r="X2" s="6">
        <f t="shared" si="0"/>
        <v>43637</v>
      </c>
      <c r="Y2" s="6">
        <f t="shared" si="0"/>
        <v>43638</v>
      </c>
      <c r="Z2" s="6">
        <f t="shared" si="0"/>
        <v>43639</v>
      </c>
      <c r="AA2" s="6">
        <f t="shared" si="0"/>
        <v>43640</v>
      </c>
      <c r="AB2" s="6">
        <f t="shared" si="0"/>
        <v>43641</v>
      </c>
      <c r="AC2" s="6">
        <f t="shared" si="0"/>
        <v>43642</v>
      </c>
      <c r="AD2" s="6">
        <f t="shared" si="0"/>
        <v>43643</v>
      </c>
      <c r="AE2" s="6">
        <f t="shared" si="0"/>
        <v>43644</v>
      </c>
      <c r="AF2" s="6">
        <f t="shared" si="0"/>
        <v>43645</v>
      </c>
      <c r="AG2" s="6">
        <f t="shared" si="0"/>
        <v>43646</v>
      </c>
      <c r="AH2" s="6">
        <f t="shared" si="0"/>
        <v>43647</v>
      </c>
    </row>
    <row r="3" spans="1:34" x14ac:dyDescent="0.25">
      <c r="A3" s="2"/>
      <c r="B3" s="2"/>
      <c r="C3" s="2"/>
    </row>
    <row r="4" spans="1:34" x14ac:dyDescent="0.25">
      <c r="B4" s="2"/>
      <c r="C4" s="2"/>
    </row>
    <row r="5" spans="1:34" x14ac:dyDescent="0.25">
      <c r="B5" s="2"/>
      <c r="C5" s="2"/>
    </row>
    <row r="6" spans="1:34" x14ac:dyDescent="0.25">
      <c r="B6" s="2"/>
      <c r="C6" s="2"/>
    </row>
    <row r="7" spans="1:34" x14ac:dyDescent="0.25">
      <c r="B7" s="2"/>
      <c r="C7" s="2"/>
    </row>
    <row r="8" spans="1:34" x14ac:dyDescent="0.25">
      <c r="B8" s="2"/>
      <c r="C8" s="2"/>
    </row>
    <row r="9" spans="1:34" x14ac:dyDescent="0.25">
      <c r="B9" s="2"/>
      <c r="C9" s="2"/>
    </row>
    <row r="10" spans="1:34" x14ac:dyDescent="0.25">
      <c r="B10" s="2"/>
      <c r="C10" s="2"/>
    </row>
    <row r="11" spans="1:34" x14ac:dyDescent="0.25">
      <c r="B11" s="2"/>
      <c r="C11" s="2"/>
    </row>
    <row r="12" spans="1:34" x14ac:dyDescent="0.25">
      <c r="B12" s="2"/>
      <c r="C12" s="2"/>
    </row>
    <row r="13" spans="1:34" x14ac:dyDescent="0.25">
      <c r="B13" s="2"/>
      <c r="C13" s="2"/>
    </row>
    <row r="14" spans="1:34" x14ac:dyDescent="0.25">
      <c r="B14" s="2"/>
      <c r="C14" s="2"/>
    </row>
    <row r="15" spans="1:34" x14ac:dyDescent="0.25">
      <c r="B15" s="2"/>
      <c r="C15" s="2"/>
    </row>
    <row r="16" spans="1:34" s="3" customFormat="1" x14ac:dyDescent="0.25">
      <c r="A16" s="1"/>
      <c r="B16" s="2"/>
      <c r="C16" s="2"/>
      <c r="D16" s="4"/>
      <c r="E16" s="4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</row>
  </sheetData>
  <sheetProtection formatCells="0" formatColumns="0" formatRows="0" insertColumns="0" insertRows="0" deleteColumns="0" deleteRows="0"/>
  <dataConsolidate/>
  <conditionalFormatting sqref="H2">
    <cfRule type="expression" dxfId="41" priority="7">
      <formula>IF(WEEKDAY(H2,2)&gt;5,TRUE,FALSE)</formula>
    </cfRule>
  </conditionalFormatting>
  <conditionalFormatting sqref="E2">
    <cfRule type="expression" dxfId="40" priority="6">
      <formula>IF(WEEKDAY(E2,2)&gt;5,TRUE,FALSE)</formula>
    </cfRule>
  </conditionalFormatting>
  <conditionalFormatting sqref="F2">
    <cfRule type="expression" dxfId="39" priority="5">
      <formula>IF(WEEKDAY(F2,2)&gt;5,TRUE,FALSE)</formula>
    </cfRule>
  </conditionalFormatting>
  <conditionalFormatting sqref="G2">
    <cfRule type="expression" dxfId="38" priority="4">
      <formula>IF(WEEKDAY(G2,2)&gt;5,TRUE,FALSE)</formula>
    </cfRule>
  </conditionalFormatting>
  <conditionalFormatting sqref="I2:AH2">
    <cfRule type="expression" dxfId="37" priority="3">
      <formula>IF(WEEKDAY(I2,2)&gt;5,TRUE,FALSE)</formula>
    </cfRule>
  </conditionalFormatting>
  <conditionalFormatting sqref="D2">
    <cfRule type="expression" dxfId="36" priority="1">
      <formula>IF(WEEKDAY(D2,2)&gt;5,TRUE,FALSE)</formula>
    </cfRule>
  </conditionalFormatting>
  <dataValidations count="2">
    <dataValidation type="list" allowBlank="1" showInputMessage="1" showErrorMessage="1" sqref="B3:B1048576">
      <formula1>OFFSET(MyProjectCodeStart,MATCH(A3, MyProjectCodeColumn, 0) -1, 1, COUNTIF(MyProjectCodeColumn,A3), 1)</formula1>
    </dataValidation>
    <dataValidation type="list" allowBlank="1" showInputMessage="1" showErrorMessage="1" sqref="A3:A1048576">
      <formula1>MyProjectCodeList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H16"/>
  <sheetViews>
    <sheetView zoomScale="130" zoomScaleNormal="13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5" x14ac:dyDescent="0.25"/>
  <cols>
    <col min="1" max="1" width="18.7109375" style="1" customWidth="1"/>
    <col min="2" max="2" width="13.42578125" style="1" customWidth="1"/>
    <col min="3" max="3" width="2.7109375" style="1" customWidth="1"/>
    <col min="4" max="5" width="10.42578125" style="4" bestFit="1" customWidth="1"/>
    <col min="6" max="6" width="10.5703125" style="5" bestFit="1" customWidth="1"/>
    <col min="7" max="31" width="11.140625" style="5" customWidth="1"/>
    <col min="32" max="33" width="10.42578125" style="5" bestFit="1" customWidth="1"/>
    <col min="34" max="34" width="10.5703125" style="5" bestFit="1" customWidth="1"/>
    <col min="35" max="16384" width="9.140625" style="5"/>
  </cols>
  <sheetData>
    <row r="1" spans="1:34" s="8" customFormat="1" x14ac:dyDescent="0.25">
      <c r="A1" s="7" t="s">
        <v>1</v>
      </c>
      <c r="B1" s="7" t="s">
        <v>2</v>
      </c>
      <c r="C1" s="7"/>
      <c r="D1" s="10" t="s">
        <v>0</v>
      </c>
      <c r="E1" s="9">
        <f>EDATE(Jan!E1,6)</f>
        <v>43647</v>
      </c>
    </row>
    <row r="2" spans="1:34" x14ac:dyDescent="0.25">
      <c r="A2" s="7"/>
      <c r="B2" s="7"/>
      <c r="C2" s="7"/>
      <c r="D2" s="6">
        <f>E1</f>
        <v>43647</v>
      </c>
      <c r="E2" s="6">
        <f>D2+1</f>
        <v>43648</v>
      </c>
      <c r="F2" s="6">
        <f>E2+1</f>
        <v>43649</v>
      </c>
      <c r="G2" s="6">
        <f>F2+1</f>
        <v>43650</v>
      </c>
      <c r="H2" s="6">
        <f>G2+1</f>
        <v>43651</v>
      </c>
      <c r="I2" s="6">
        <f t="shared" ref="I2:AH2" si="0">H2+1</f>
        <v>43652</v>
      </c>
      <c r="J2" s="6">
        <f t="shared" si="0"/>
        <v>43653</v>
      </c>
      <c r="K2" s="6">
        <f t="shared" si="0"/>
        <v>43654</v>
      </c>
      <c r="L2" s="6">
        <f t="shared" si="0"/>
        <v>43655</v>
      </c>
      <c r="M2" s="6">
        <f t="shared" si="0"/>
        <v>43656</v>
      </c>
      <c r="N2" s="6">
        <f t="shared" si="0"/>
        <v>43657</v>
      </c>
      <c r="O2" s="6">
        <f t="shared" si="0"/>
        <v>43658</v>
      </c>
      <c r="P2" s="6">
        <f t="shared" si="0"/>
        <v>43659</v>
      </c>
      <c r="Q2" s="6">
        <f t="shared" si="0"/>
        <v>43660</v>
      </c>
      <c r="R2" s="6">
        <f t="shared" si="0"/>
        <v>43661</v>
      </c>
      <c r="S2" s="6">
        <f t="shared" si="0"/>
        <v>43662</v>
      </c>
      <c r="T2" s="6">
        <f t="shared" si="0"/>
        <v>43663</v>
      </c>
      <c r="U2" s="6">
        <f t="shared" si="0"/>
        <v>43664</v>
      </c>
      <c r="V2" s="6">
        <f t="shared" si="0"/>
        <v>43665</v>
      </c>
      <c r="W2" s="6">
        <f t="shared" si="0"/>
        <v>43666</v>
      </c>
      <c r="X2" s="6">
        <f t="shared" si="0"/>
        <v>43667</v>
      </c>
      <c r="Y2" s="6">
        <f t="shared" si="0"/>
        <v>43668</v>
      </c>
      <c r="Z2" s="6">
        <f t="shared" si="0"/>
        <v>43669</v>
      </c>
      <c r="AA2" s="6">
        <f t="shared" si="0"/>
        <v>43670</v>
      </c>
      <c r="AB2" s="6">
        <f t="shared" si="0"/>
        <v>43671</v>
      </c>
      <c r="AC2" s="6">
        <f t="shared" si="0"/>
        <v>43672</v>
      </c>
      <c r="AD2" s="6">
        <f t="shared" si="0"/>
        <v>43673</v>
      </c>
      <c r="AE2" s="6">
        <f t="shared" si="0"/>
        <v>43674</v>
      </c>
      <c r="AF2" s="6">
        <f t="shared" si="0"/>
        <v>43675</v>
      </c>
      <c r="AG2" s="6">
        <f t="shared" si="0"/>
        <v>43676</v>
      </c>
      <c r="AH2" s="6">
        <f t="shared" si="0"/>
        <v>43677</v>
      </c>
    </row>
    <row r="3" spans="1:34" x14ac:dyDescent="0.25">
      <c r="A3" s="2"/>
      <c r="B3" s="2"/>
      <c r="C3" s="2"/>
    </row>
    <row r="4" spans="1:34" x14ac:dyDescent="0.25">
      <c r="B4" s="2"/>
      <c r="C4" s="2"/>
    </row>
    <row r="5" spans="1:34" x14ac:dyDescent="0.25">
      <c r="B5" s="2"/>
      <c r="C5" s="2"/>
    </row>
    <row r="6" spans="1:34" x14ac:dyDescent="0.25">
      <c r="B6" s="2"/>
      <c r="C6" s="2"/>
    </row>
    <row r="7" spans="1:34" x14ac:dyDescent="0.25">
      <c r="B7" s="2"/>
      <c r="C7" s="2"/>
    </row>
    <row r="8" spans="1:34" x14ac:dyDescent="0.25">
      <c r="B8" s="2"/>
      <c r="C8" s="2"/>
    </row>
    <row r="9" spans="1:34" x14ac:dyDescent="0.25">
      <c r="B9" s="2"/>
      <c r="C9" s="2"/>
    </row>
    <row r="10" spans="1:34" x14ac:dyDescent="0.25">
      <c r="B10" s="2"/>
      <c r="C10" s="2"/>
    </row>
    <row r="11" spans="1:34" x14ac:dyDescent="0.25">
      <c r="B11" s="2"/>
      <c r="C11" s="2"/>
    </row>
    <row r="12" spans="1:34" x14ac:dyDescent="0.25">
      <c r="B12" s="2"/>
      <c r="C12" s="2"/>
    </row>
    <row r="13" spans="1:34" x14ac:dyDescent="0.25">
      <c r="B13" s="2"/>
      <c r="C13" s="2"/>
    </row>
    <row r="14" spans="1:34" x14ac:dyDescent="0.25">
      <c r="B14" s="2"/>
      <c r="C14" s="2"/>
    </row>
    <row r="15" spans="1:34" x14ac:dyDescent="0.25">
      <c r="B15" s="2"/>
      <c r="C15" s="2"/>
    </row>
    <row r="16" spans="1:34" s="3" customFormat="1" x14ac:dyDescent="0.25">
      <c r="A16" s="1"/>
      <c r="B16" s="2"/>
      <c r="C16" s="2"/>
      <c r="D16" s="4"/>
      <c r="E16" s="4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</row>
  </sheetData>
  <sheetProtection formatCells="0" formatColumns="0" formatRows="0" insertColumns="0" insertRows="0" deleteColumns="0" deleteRows="0"/>
  <dataConsolidate/>
  <conditionalFormatting sqref="H2">
    <cfRule type="expression" dxfId="35" priority="7">
      <formula>IF(WEEKDAY(H2,2)&gt;5,TRUE,FALSE)</formula>
    </cfRule>
  </conditionalFormatting>
  <conditionalFormatting sqref="E2">
    <cfRule type="expression" dxfId="34" priority="6">
      <formula>IF(WEEKDAY(E2,2)&gt;5,TRUE,FALSE)</formula>
    </cfRule>
  </conditionalFormatting>
  <conditionalFormatting sqref="F2">
    <cfRule type="expression" dxfId="33" priority="5">
      <formula>IF(WEEKDAY(F2,2)&gt;5,TRUE,FALSE)</formula>
    </cfRule>
  </conditionalFormatting>
  <conditionalFormatting sqref="G2">
    <cfRule type="expression" dxfId="32" priority="4">
      <formula>IF(WEEKDAY(G2,2)&gt;5,TRUE,FALSE)</formula>
    </cfRule>
  </conditionalFormatting>
  <conditionalFormatting sqref="I2:AH2">
    <cfRule type="expression" dxfId="31" priority="3">
      <formula>IF(WEEKDAY(I2,2)&gt;5,TRUE,FALSE)</formula>
    </cfRule>
  </conditionalFormatting>
  <conditionalFormatting sqref="D2">
    <cfRule type="expression" dxfId="30" priority="1">
      <formula>IF(WEEKDAY(D2,2)&gt;5,TRUE,FALSE)</formula>
    </cfRule>
  </conditionalFormatting>
  <dataValidations count="2">
    <dataValidation type="list" allowBlank="1" showInputMessage="1" showErrorMessage="1" sqref="A3:A1048576">
      <formula1>MyProjectCodeList</formula1>
    </dataValidation>
    <dataValidation type="list" allowBlank="1" showInputMessage="1" showErrorMessage="1" sqref="B3:B1048576">
      <formula1>OFFSET(MyProjectCodeStart,MATCH(A3, MyProjectCodeColumn, 0) -1, 1, COUNTIF(MyProjectCodeColumn,A3), 1)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16"/>
  <sheetViews>
    <sheetView zoomScale="130" zoomScaleNormal="13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5" x14ac:dyDescent="0.25"/>
  <cols>
    <col min="1" max="1" width="18.7109375" style="1" customWidth="1"/>
    <col min="2" max="2" width="13.42578125" style="1" customWidth="1"/>
    <col min="3" max="3" width="2.7109375" style="1" customWidth="1"/>
    <col min="4" max="5" width="10.42578125" style="4" bestFit="1" customWidth="1"/>
    <col min="6" max="6" width="10.5703125" style="5" bestFit="1" customWidth="1"/>
    <col min="7" max="31" width="11.140625" style="5" customWidth="1"/>
    <col min="32" max="33" width="10.42578125" style="5" bestFit="1" customWidth="1"/>
    <col min="34" max="34" width="10.5703125" style="5" bestFit="1" customWidth="1"/>
    <col min="35" max="16384" width="9.140625" style="5"/>
  </cols>
  <sheetData>
    <row r="1" spans="1:34" s="8" customFormat="1" x14ac:dyDescent="0.25">
      <c r="A1" s="7" t="s">
        <v>1</v>
      </c>
      <c r="B1" s="7" t="s">
        <v>2</v>
      </c>
      <c r="C1" s="7"/>
      <c r="D1" s="10" t="s">
        <v>0</v>
      </c>
      <c r="E1" s="9">
        <f>EDATE(Jan!E1,7)</f>
        <v>43678</v>
      </c>
    </row>
    <row r="2" spans="1:34" x14ac:dyDescent="0.25">
      <c r="A2" s="7"/>
      <c r="B2" s="7"/>
      <c r="C2" s="7"/>
      <c r="D2" s="6">
        <f>E1</f>
        <v>43678</v>
      </c>
      <c r="E2" s="6">
        <f>D2+1</f>
        <v>43679</v>
      </c>
      <c r="F2" s="6">
        <f>E2+1</f>
        <v>43680</v>
      </c>
      <c r="G2" s="6">
        <f>F2+1</f>
        <v>43681</v>
      </c>
      <c r="H2" s="6">
        <f>G2+1</f>
        <v>43682</v>
      </c>
      <c r="I2" s="6">
        <f t="shared" ref="I2:AH2" si="0">H2+1</f>
        <v>43683</v>
      </c>
      <c r="J2" s="6">
        <f t="shared" si="0"/>
        <v>43684</v>
      </c>
      <c r="K2" s="6">
        <f t="shared" si="0"/>
        <v>43685</v>
      </c>
      <c r="L2" s="6">
        <f t="shared" si="0"/>
        <v>43686</v>
      </c>
      <c r="M2" s="6">
        <f t="shared" si="0"/>
        <v>43687</v>
      </c>
      <c r="N2" s="6">
        <f t="shared" si="0"/>
        <v>43688</v>
      </c>
      <c r="O2" s="6">
        <f t="shared" si="0"/>
        <v>43689</v>
      </c>
      <c r="P2" s="6">
        <f t="shared" si="0"/>
        <v>43690</v>
      </c>
      <c r="Q2" s="6">
        <f t="shared" si="0"/>
        <v>43691</v>
      </c>
      <c r="R2" s="6">
        <f t="shared" si="0"/>
        <v>43692</v>
      </c>
      <c r="S2" s="6">
        <f t="shared" si="0"/>
        <v>43693</v>
      </c>
      <c r="T2" s="6">
        <f t="shared" si="0"/>
        <v>43694</v>
      </c>
      <c r="U2" s="6">
        <f t="shared" si="0"/>
        <v>43695</v>
      </c>
      <c r="V2" s="6">
        <f t="shared" si="0"/>
        <v>43696</v>
      </c>
      <c r="W2" s="6">
        <f t="shared" si="0"/>
        <v>43697</v>
      </c>
      <c r="X2" s="6">
        <f t="shared" si="0"/>
        <v>43698</v>
      </c>
      <c r="Y2" s="6">
        <f t="shared" si="0"/>
        <v>43699</v>
      </c>
      <c r="Z2" s="6">
        <f t="shared" si="0"/>
        <v>43700</v>
      </c>
      <c r="AA2" s="6">
        <f t="shared" si="0"/>
        <v>43701</v>
      </c>
      <c r="AB2" s="6">
        <f t="shared" si="0"/>
        <v>43702</v>
      </c>
      <c r="AC2" s="6">
        <f t="shared" si="0"/>
        <v>43703</v>
      </c>
      <c r="AD2" s="6">
        <f t="shared" si="0"/>
        <v>43704</v>
      </c>
      <c r="AE2" s="6">
        <f t="shared" si="0"/>
        <v>43705</v>
      </c>
      <c r="AF2" s="6">
        <f t="shared" si="0"/>
        <v>43706</v>
      </c>
      <c r="AG2" s="6">
        <f t="shared" si="0"/>
        <v>43707</v>
      </c>
      <c r="AH2" s="6">
        <f t="shared" si="0"/>
        <v>43708</v>
      </c>
    </row>
    <row r="3" spans="1:34" x14ac:dyDescent="0.25">
      <c r="A3" s="2"/>
      <c r="B3" s="2"/>
      <c r="C3" s="2"/>
    </row>
    <row r="4" spans="1:34" x14ac:dyDescent="0.25">
      <c r="B4" s="2"/>
      <c r="C4" s="2"/>
    </row>
    <row r="5" spans="1:34" x14ac:dyDescent="0.25">
      <c r="B5" s="2"/>
      <c r="C5" s="2"/>
    </row>
    <row r="6" spans="1:34" x14ac:dyDescent="0.25">
      <c r="B6" s="2"/>
      <c r="C6" s="2"/>
    </row>
    <row r="7" spans="1:34" x14ac:dyDescent="0.25">
      <c r="B7" s="2"/>
      <c r="C7" s="2"/>
    </row>
    <row r="8" spans="1:34" x14ac:dyDescent="0.25">
      <c r="B8" s="2"/>
      <c r="C8" s="2"/>
    </row>
    <row r="9" spans="1:34" x14ac:dyDescent="0.25">
      <c r="B9" s="2"/>
      <c r="C9" s="2"/>
    </row>
    <row r="10" spans="1:34" x14ac:dyDescent="0.25">
      <c r="B10" s="2"/>
      <c r="C10" s="2"/>
    </row>
    <row r="11" spans="1:34" x14ac:dyDescent="0.25">
      <c r="B11" s="2"/>
      <c r="C11" s="2"/>
    </row>
    <row r="12" spans="1:34" x14ac:dyDescent="0.25">
      <c r="B12" s="2"/>
      <c r="C12" s="2"/>
    </row>
    <row r="13" spans="1:34" x14ac:dyDescent="0.25">
      <c r="B13" s="2"/>
      <c r="C13" s="2"/>
    </row>
    <row r="14" spans="1:34" x14ac:dyDescent="0.25">
      <c r="B14" s="2"/>
      <c r="C14" s="2"/>
    </row>
    <row r="15" spans="1:34" x14ac:dyDescent="0.25">
      <c r="B15" s="2"/>
      <c r="C15" s="2"/>
    </row>
    <row r="16" spans="1:34" s="3" customFormat="1" x14ac:dyDescent="0.25">
      <c r="A16" s="1"/>
      <c r="B16" s="2"/>
      <c r="C16" s="2"/>
      <c r="D16" s="4"/>
      <c r="E16" s="4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</row>
  </sheetData>
  <sheetProtection formatCells="0" formatColumns="0" formatRows="0" insertColumns="0" insertRows="0" deleteColumns="0" deleteRows="0"/>
  <dataConsolidate/>
  <conditionalFormatting sqref="H2">
    <cfRule type="expression" dxfId="29" priority="7">
      <formula>IF(WEEKDAY(H2,2)&gt;5,TRUE,FALSE)</formula>
    </cfRule>
  </conditionalFormatting>
  <conditionalFormatting sqref="E2">
    <cfRule type="expression" dxfId="28" priority="6">
      <formula>IF(WEEKDAY(E2,2)&gt;5,TRUE,FALSE)</formula>
    </cfRule>
  </conditionalFormatting>
  <conditionalFormatting sqref="F2">
    <cfRule type="expression" dxfId="27" priority="5">
      <formula>IF(WEEKDAY(F2,2)&gt;5,TRUE,FALSE)</formula>
    </cfRule>
  </conditionalFormatting>
  <conditionalFormatting sqref="G2">
    <cfRule type="expression" dxfId="26" priority="4">
      <formula>IF(WEEKDAY(G2,2)&gt;5,TRUE,FALSE)</formula>
    </cfRule>
  </conditionalFormatting>
  <conditionalFormatting sqref="I2:AH2">
    <cfRule type="expression" dxfId="25" priority="3">
      <formula>IF(WEEKDAY(I2,2)&gt;5,TRUE,FALSE)</formula>
    </cfRule>
  </conditionalFormatting>
  <conditionalFormatting sqref="D2">
    <cfRule type="expression" dxfId="24" priority="1">
      <formula>IF(WEEKDAY(D2,2)&gt;5,TRUE,FALSE)</formula>
    </cfRule>
  </conditionalFormatting>
  <dataValidations count="2">
    <dataValidation type="list" allowBlank="1" showInputMessage="1" showErrorMessage="1" sqref="B3:B1048576">
      <formula1>OFFSET(MyProjectCodeStart,MATCH(A3, MyProjectCodeColumn, 0) -1, 1, COUNTIF(MyProjectCodeColumn,A3), 1)</formula1>
    </dataValidation>
    <dataValidation type="list" allowBlank="1" showInputMessage="1" showErrorMessage="1" sqref="A3:A1048576">
      <formula1>MyProjectCodeList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H16"/>
  <sheetViews>
    <sheetView zoomScale="130" zoomScaleNormal="13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5" x14ac:dyDescent="0.25"/>
  <cols>
    <col min="1" max="1" width="18.7109375" style="1" customWidth="1"/>
    <col min="2" max="2" width="13.42578125" style="1" customWidth="1"/>
    <col min="3" max="3" width="2.7109375" style="1" customWidth="1"/>
    <col min="4" max="5" width="10.42578125" style="4" bestFit="1" customWidth="1"/>
    <col min="6" max="6" width="10.5703125" style="5" bestFit="1" customWidth="1"/>
    <col min="7" max="31" width="11.140625" style="5" customWidth="1"/>
    <col min="32" max="33" width="10.42578125" style="5" bestFit="1" customWidth="1"/>
    <col min="34" max="34" width="10.5703125" style="5" bestFit="1" customWidth="1"/>
    <col min="35" max="16384" width="9.140625" style="5"/>
  </cols>
  <sheetData>
    <row r="1" spans="1:34" s="8" customFormat="1" x14ac:dyDescent="0.25">
      <c r="A1" s="7" t="s">
        <v>1</v>
      </c>
      <c r="B1" s="7" t="s">
        <v>2</v>
      </c>
      <c r="C1" s="7"/>
      <c r="D1" s="10" t="s">
        <v>0</v>
      </c>
      <c r="E1" s="9">
        <f>EDATE(Jan!E1,8)</f>
        <v>43709</v>
      </c>
    </row>
    <row r="2" spans="1:34" x14ac:dyDescent="0.25">
      <c r="A2" s="7"/>
      <c r="B2" s="7"/>
      <c r="C2" s="7"/>
      <c r="D2" s="6">
        <f>E1</f>
        <v>43709</v>
      </c>
      <c r="E2" s="6">
        <f>D2+1</f>
        <v>43710</v>
      </c>
      <c r="F2" s="6">
        <f>E2+1</f>
        <v>43711</v>
      </c>
      <c r="G2" s="6">
        <f>F2+1</f>
        <v>43712</v>
      </c>
      <c r="H2" s="6">
        <f>G2+1</f>
        <v>43713</v>
      </c>
      <c r="I2" s="6">
        <f t="shared" ref="I2:AH2" si="0">H2+1</f>
        <v>43714</v>
      </c>
      <c r="J2" s="6">
        <f t="shared" si="0"/>
        <v>43715</v>
      </c>
      <c r="K2" s="6">
        <f t="shared" si="0"/>
        <v>43716</v>
      </c>
      <c r="L2" s="6">
        <f t="shared" si="0"/>
        <v>43717</v>
      </c>
      <c r="M2" s="6">
        <f t="shared" si="0"/>
        <v>43718</v>
      </c>
      <c r="N2" s="6">
        <f t="shared" si="0"/>
        <v>43719</v>
      </c>
      <c r="O2" s="6">
        <f t="shared" si="0"/>
        <v>43720</v>
      </c>
      <c r="P2" s="6">
        <f t="shared" si="0"/>
        <v>43721</v>
      </c>
      <c r="Q2" s="6">
        <f t="shared" si="0"/>
        <v>43722</v>
      </c>
      <c r="R2" s="6">
        <f t="shared" si="0"/>
        <v>43723</v>
      </c>
      <c r="S2" s="6">
        <f t="shared" si="0"/>
        <v>43724</v>
      </c>
      <c r="T2" s="6">
        <f t="shared" si="0"/>
        <v>43725</v>
      </c>
      <c r="U2" s="6">
        <f t="shared" si="0"/>
        <v>43726</v>
      </c>
      <c r="V2" s="6">
        <f t="shared" si="0"/>
        <v>43727</v>
      </c>
      <c r="W2" s="6">
        <f t="shared" si="0"/>
        <v>43728</v>
      </c>
      <c r="X2" s="6">
        <f t="shared" si="0"/>
        <v>43729</v>
      </c>
      <c r="Y2" s="6">
        <f t="shared" si="0"/>
        <v>43730</v>
      </c>
      <c r="Z2" s="6">
        <f t="shared" si="0"/>
        <v>43731</v>
      </c>
      <c r="AA2" s="6">
        <f t="shared" si="0"/>
        <v>43732</v>
      </c>
      <c r="AB2" s="6">
        <f t="shared" si="0"/>
        <v>43733</v>
      </c>
      <c r="AC2" s="6">
        <f t="shared" si="0"/>
        <v>43734</v>
      </c>
      <c r="AD2" s="6">
        <f t="shared" si="0"/>
        <v>43735</v>
      </c>
      <c r="AE2" s="6">
        <f t="shared" si="0"/>
        <v>43736</v>
      </c>
      <c r="AF2" s="6">
        <f t="shared" si="0"/>
        <v>43737</v>
      </c>
      <c r="AG2" s="6">
        <f t="shared" si="0"/>
        <v>43738</v>
      </c>
      <c r="AH2" s="6">
        <f t="shared" si="0"/>
        <v>43739</v>
      </c>
    </row>
    <row r="3" spans="1:34" x14ac:dyDescent="0.25">
      <c r="A3" s="2"/>
      <c r="B3" s="2"/>
      <c r="C3" s="2"/>
    </row>
    <row r="4" spans="1:34" x14ac:dyDescent="0.25">
      <c r="B4" s="2"/>
      <c r="C4" s="2"/>
    </row>
    <row r="5" spans="1:34" x14ac:dyDescent="0.25">
      <c r="B5" s="2"/>
      <c r="C5" s="2"/>
    </row>
    <row r="6" spans="1:34" x14ac:dyDescent="0.25">
      <c r="B6" s="2"/>
      <c r="C6" s="2"/>
    </row>
    <row r="7" spans="1:34" x14ac:dyDescent="0.25">
      <c r="B7" s="2"/>
      <c r="C7" s="2"/>
    </row>
    <row r="8" spans="1:34" x14ac:dyDescent="0.25">
      <c r="B8" s="2"/>
      <c r="C8" s="2"/>
    </row>
    <row r="9" spans="1:34" x14ac:dyDescent="0.25">
      <c r="B9" s="2"/>
      <c r="C9" s="2"/>
    </row>
    <row r="10" spans="1:34" x14ac:dyDescent="0.25">
      <c r="B10" s="2"/>
      <c r="C10" s="2"/>
    </row>
    <row r="11" spans="1:34" x14ac:dyDescent="0.25">
      <c r="B11" s="2"/>
      <c r="C11" s="2"/>
    </row>
    <row r="12" spans="1:34" x14ac:dyDescent="0.25">
      <c r="B12" s="2"/>
      <c r="C12" s="2"/>
    </row>
    <row r="13" spans="1:34" x14ac:dyDescent="0.25">
      <c r="B13" s="2"/>
      <c r="C13" s="2"/>
    </row>
    <row r="14" spans="1:34" x14ac:dyDescent="0.25">
      <c r="B14" s="2"/>
      <c r="C14" s="2"/>
    </row>
    <row r="15" spans="1:34" x14ac:dyDescent="0.25">
      <c r="B15" s="2"/>
      <c r="C15" s="2"/>
    </row>
    <row r="16" spans="1:34" s="3" customFormat="1" x14ac:dyDescent="0.25">
      <c r="A16" s="1"/>
      <c r="B16" s="2"/>
      <c r="C16" s="2"/>
      <c r="D16" s="4"/>
      <c r="E16" s="4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</row>
  </sheetData>
  <sheetProtection formatCells="0" formatColumns="0" formatRows="0" insertColumns="0" insertRows="0" deleteColumns="0" deleteRows="0"/>
  <dataConsolidate/>
  <conditionalFormatting sqref="H2">
    <cfRule type="expression" dxfId="23" priority="7">
      <formula>IF(WEEKDAY(H2,2)&gt;5,TRUE,FALSE)</formula>
    </cfRule>
  </conditionalFormatting>
  <conditionalFormatting sqref="E2">
    <cfRule type="expression" dxfId="22" priority="6">
      <formula>IF(WEEKDAY(E2,2)&gt;5,TRUE,FALSE)</formula>
    </cfRule>
  </conditionalFormatting>
  <conditionalFormatting sqref="F2">
    <cfRule type="expression" dxfId="21" priority="5">
      <formula>IF(WEEKDAY(F2,2)&gt;5,TRUE,FALSE)</formula>
    </cfRule>
  </conditionalFormatting>
  <conditionalFormatting sqref="G2">
    <cfRule type="expression" dxfId="20" priority="4">
      <formula>IF(WEEKDAY(G2,2)&gt;5,TRUE,FALSE)</formula>
    </cfRule>
  </conditionalFormatting>
  <conditionalFormatting sqref="I2:AH2">
    <cfRule type="expression" dxfId="19" priority="3">
      <formula>IF(WEEKDAY(I2,2)&gt;5,TRUE,FALSE)</formula>
    </cfRule>
  </conditionalFormatting>
  <conditionalFormatting sqref="D2">
    <cfRule type="expression" dxfId="18" priority="1">
      <formula>IF(WEEKDAY(D2,2)&gt;5,TRUE,FALSE)</formula>
    </cfRule>
  </conditionalFormatting>
  <dataValidations count="2">
    <dataValidation type="list" allowBlank="1" showInputMessage="1" showErrorMessage="1" sqref="A3:A1048576">
      <formula1>MyProjectCodeList</formula1>
    </dataValidation>
    <dataValidation type="list" allowBlank="1" showInputMessage="1" showErrorMessage="1" sqref="B3:B1048576">
      <formula1>OFFSET(MyProjectCodeStart,MATCH(A3, MyProjectCodeColumn, 0) -1, 1, COUNTIF(MyProjectCodeColumn,A3), 1)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H16"/>
  <sheetViews>
    <sheetView zoomScale="130" zoomScaleNormal="13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5" x14ac:dyDescent="0.25"/>
  <cols>
    <col min="1" max="1" width="18.7109375" style="1" customWidth="1"/>
    <col min="2" max="2" width="13.42578125" style="1" customWidth="1"/>
    <col min="3" max="3" width="2.7109375" style="1" customWidth="1"/>
    <col min="4" max="5" width="10.42578125" style="4" bestFit="1" customWidth="1"/>
    <col min="6" max="6" width="10.5703125" style="5" bestFit="1" customWidth="1"/>
    <col min="7" max="31" width="11.140625" style="5" customWidth="1"/>
    <col min="32" max="33" width="10.42578125" style="5" bestFit="1" customWidth="1"/>
    <col min="34" max="34" width="10.5703125" style="5" bestFit="1" customWidth="1"/>
    <col min="35" max="16384" width="9.140625" style="5"/>
  </cols>
  <sheetData>
    <row r="1" spans="1:34" s="8" customFormat="1" x14ac:dyDescent="0.25">
      <c r="A1" s="7" t="s">
        <v>1</v>
      </c>
      <c r="B1" s="7" t="s">
        <v>2</v>
      </c>
      <c r="C1" s="7"/>
      <c r="D1" s="10" t="s">
        <v>0</v>
      </c>
      <c r="E1" s="9">
        <f>EDATE(Jan!E1,9)</f>
        <v>43739</v>
      </c>
    </row>
    <row r="2" spans="1:34" x14ac:dyDescent="0.25">
      <c r="A2" s="7"/>
      <c r="B2" s="7"/>
      <c r="C2" s="7"/>
      <c r="D2" s="6">
        <f>E1</f>
        <v>43739</v>
      </c>
      <c r="E2" s="6">
        <f>D2+1</f>
        <v>43740</v>
      </c>
      <c r="F2" s="6">
        <f>E2+1</f>
        <v>43741</v>
      </c>
      <c r="G2" s="6">
        <f>F2+1</f>
        <v>43742</v>
      </c>
      <c r="H2" s="6">
        <f>G2+1</f>
        <v>43743</v>
      </c>
      <c r="I2" s="6">
        <f t="shared" ref="I2:AH2" si="0">H2+1</f>
        <v>43744</v>
      </c>
      <c r="J2" s="6">
        <f t="shared" si="0"/>
        <v>43745</v>
      </c>
      <c r="K2" s="6">
        <f t="shared" si="0"/>
        <v>43746</v>
      </c>
      <c r="L2" s="6">
        <f t="shared" si="0"/>
        <v>43747</v>
      </c>
      <c r="M2" s="6">
        <f t="shared" si="0"/>
        <v>43748</v>
      </c>
      <c r="N2" s="6">
        <f t="shared" si="0"/>
        <v>43749</v>
      </c>
      <c r="O2" s="6">
        <f t="shared" si="0"/>
        <v>43750</v>
      </c>
      <c r="P2" s="6">
        <f t="shared" si="0"/>
        <v>43751</v>
      </c>
      <c r="Q2" s="6">
        <f t="shared" si="0"/>
        <v>43752</v>
      </c>
      <c r="R2" s="6">
        <f t="shared" si="0"/>
        <v>43753</v>
      </c>
      <c r="S2" s="6">
        <f t="shared" si="0"/>
        <v>43754</v>
      </c>
      <c r="T2" s="6">
        <f t="shared" si="0"/>
        <v>43755</v>
      </c>
      <c r="U2" s="6">
        <f t="shared" si="0"/>
        <v>43756</v>
      </c>
      <c r="V2" s="6">
        <f t="shared" si="0"/>
        <v>43757</v>
      </c>
      <c r="W2" s="6">
        <f t="shared" si="0"/>
        <v>43758</v>
      </c>
      <c r="X2" s="6">
        <f t="shared" si="0"/>
        <v>43759</v>
      </c>
      <c r="Y2" s="6">
        <f t="shared" si="0"/>
        <v>43760</v>
      </c>
      <c r="Z2" s="6">
        <f t="shared" si="0"/>
        <v>43761</v>
      </c>
      <c r="AA2" s="6">
        <f t="shared" si="0"/>
        <v>43762</v>
      </c>
      <c r="AB2" s="6">
        <f t="shared" si="0"/>
        <v>43763</v>
      </c>
      <c r="AC2" s="6">
        <f t="shared" si="0"/>
        <v>43764</v>
      </c>
      <c r="AD2" s="6">
        <f t="shared" si="0"/>
        <v>43765</v>
      </c>
      <c r="AE2" s="6">
        <f t="shared" si="0"/>
        <v>43766</v>
      </c>
      <c r="AF2" s="6">
        <f t="shared" si="0"/>
        <v>43767</v>
      </c>
      <c r="AG2" s="6">
        <f t="shared" si="0"/>
        <v>43768</v>
      </c>
      <c r="AH2" s="6">
        <f t="shared" si="0"/>
        <v>43769</v>
      </c>
    </row>
    <row r="3" spans="1:34" x14ac:dyDescent="0.25">
      <c r="A3" s="2"/>
      <c r="B3" s="2"/>
      <c r="C3" s="2"/>
    </row>
    <row r="4" spans="1:34" x14ac:dyDescent="0.25">
      <c r="B4" s="2"/>
      <c r="C4" s="2"/>
    </row>
    <row r="5" spans="1:34" x14ac:dyDescent="0.25">
      <c r="B5" s="2"/>
      <c r="C5" s="2"/>
    </row>
    <row r="6" spans="1:34" x14ac:dyDescent="0.25">
      <c r="B6" s="2"/>
      <c r="C6" s="2"/>
    </row>
    <row r="7" spans="1:34" x14ac:dyDescent="0.25">
      <c r="B7" s="2"/>
      <c r="C7" s="2"/>
    </row>
    <row r="8" spans="1:34" x14ac:dyDescent="0.25">
      <c r="B8" s="2"/>
      <c r="C8" s="2"/>
    </row>
    <row r="9" spans="1:34" x14ac:dyDescent="0.25">
      <c r="B9" s="2"/>
      <c r="C9" s="2"/>
    </row>
    <row r="10" spans="1:34" x14ac:dyDescent="0.25">
      <c r="B10" s="2"/>
      <c r="C10" s="2"/>
    </row>
    <row r="11" spans="1:34" x14ac:dyDescent="0.25">
      <c r="B11" s="2"/>
      <c r="C11" s="2"/>
    </row>
    <row r="12" spans="1:34" x14ac:dyDescent="0.25">
      <c r="B12" s="2"/>
      <c r="C12" s="2"/>
    </row>
    <row r="13" spans="1:34" x14ac:dyDescent="0.25">
      <c r="B13" s="2"/>
      <c r="C13" s="2"/>
    </row>
    <row r="14" spans="1:34" x14ac:dyDescent="0.25">
      <c r="B14" s="2"/>
      <c r="C14" s="2"/>
    </row>
    <row r="15" spans="1:34" x14ac:dyDescent="0.25">
      <c r="B15" s="2"/>
      <c r="C15" s="2"/>
    </row>
    <row r="16" spans="1:34" s="3" customFormat="1" x14ac:dyDescent="0.25">
      <c r="A16" s="1"/>
      <c r="B16" s="2"/>
      <c r="C16" s="2"/>
      <c r="D16" s="4"/>
      <c r="E16" s="4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</row>
  </sheetData>
  <sheetProtection formatCells="0" formatColumns="0" formatRows="0" insertColumns="0" insertRows="0" deleteColumns="0" deleteRows="0"/>
  <dataConsolidate/>
  <conditionalFormatting sqref="H2">
    <cfRule type="expression" dxfId="17" priority="7">
      <formula>IF(WEEKDAY(H2,2)&gt;5,TRUE,FALSE)</formula>
    </cfRule>
  </conditionalFormatting>
  <conditionalFormatting sqref="E2">
    <cfRule type="expression" dxfId="16" priority="6">
      <formula>IF(WEEKDAY(E2,2)&gt;5,TRUE,FALSE)</formula>
    </cfRule>
  </conditionalFormatting>
  <conditionalFormatting sqref="F2">
    <cfRule type="expression" dxfId="15" priority="5">
      <formula>IF(WEEKDAY(F2,2)&gt;5,TRUE,FALSE)</formula>
    </cfRule>
  </conditionalFormatting>
  <conditionalFormatting sqref="G2">
    <cfRule type="expression" dxfId="14" priority="4">
      <formula>IF(WEEKDAY(G2,2)&gt;5,TRUE,FALSE)</formula>
    </cfRule>
  </conditionalFormatting>
  <conditionalFormatting sqref="I2:AH2">
    <cfRule type="expression" dxfId="13" priority="3">
      <formula>IF(WEEKDAY(I2,2)&gt;5,TRUE,FALSE)</formula>
    </cfRule>
  </conditionalFormatting>
  <conditionalFormatting sqref="D2">
    <cfRule type="expression" dxfId="12" priority="1">
      <formula>IF(WEEKDAY(D2,2)&gt;5,TRUE,FALSE)</formula>
    </cfRule>
  </conditionalFormatting>
  <dataValidations count="2">
    <dataValidation type="list" allowBlank="1" showInputMessage="1" showErrorMessage="1" sqref="B3:B1048576">
      <formula1>OFFSET(MyProjectCodeStart,MATCH(A3, MyProjectCodeColumn, 0) -1, 1, COUNTIF(MyProjectCodeColumn,A3), 1)</formula1>
    </dataValidation>
    <dataValidation type="list" allowBlank="1" showInputMessage="1" showErrorMessage="1" sqref="A3:A1048576">
      <formula1>MyProjectCodeList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H16"/>
  <sheetViews>
    <sheetView zoomScale="130" zoomScaleNormal="13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5" x14ac:dyDescent="0.25"/>
  <cols>
    <col min="1" max="1" width="18.7109375" style="1" customWidth="1"/>
    <col min="2" max="2" width="13.42578125" style="1" customWidth="1"/>
    <col min="3" max="3" width="2.7109375" style="1" customWidth="1"/>
    <col min="4" max="5" width="10.42578125" style="4" bestFit="1" customWidth="1"/>
    <col min="6" max="6" width="10.5703125" style="5" bestFit="1" customWidth="1"/>
    <col min="7" max="31" width="11.140625" style="5" customWidth="1"/>
    <col min="32" max="33" width="10.42578125" style="5" bestFit="1" customWidth="1"/>
    <col min="34" max="34" width="10.5703125" style="5" bestFit="1" customWidth="1"/>
    <col min="35" max="16384" width="9.140625" style="5"/>
  </cols>
  <sheetData>
    <row r="1" spans="1:34" s="8" customFormat="1" x14ac:dyDescent="0.25">
      <c r="A1" s="7" t="s">
        <v>1</v>
      </c>
      <c r="B1" s="7" t="s">
        <v>2</v>
      </c>
      <c r="C1" s="7"/>
      <c r="D1" s="10" t="s">
        <v>0</v>
      </c>
      <c r="E1" s="9">
        <f>EDATE(Jan!E1,10)</f>
        <v>43770</v>
      </c>
    </row>
    <row r="2" spans="1:34" x14ac:dyDescent="0.25">
      <c r="A2" s="7"/>
      <c r="B2" s="7"/>
      <c r="C2" s="7"/>
      <c r="D2" s="6">
        <f>E1</f>
        <v>43770</v>
      </c>
      <c r="E2" s="6">
        <f>D2+1</f>
        <v>43771</v>
      </c>
      <c r="F2" s="6">
        <f>E2+1</f>
        <v>43772</v>
      </c>
      <c r="G2" s="6">
        <f>F2+1</f>
        <v>43773</v>
      </c>
      <c r="H2" s="6">
        <f>G2+1</f>
        <v>43774</v>
      </c>
      <c r="I2" s="6">
        <f t="shared" ref="I2:AH2" si="0">H2+1</f>
        <v>43775</v>
      </c>
      <c r="J2" s="6">
        <f t="shared" si="0"/>
        <v>43776</v>
      </c>
      <c r="K2" s="6">
        <f t="shared" si="0"/>
        <v>43777</v>
      </c>
      <c r="L2" s="6">
        <f t="shared" si="0"/>
        <v>43778</v>
      </c>
      <c r="M2" s="6">
        <f t="shared" si="0"/>
        <v>43779</v>
      </c>
      <c r="N2" s="6">
        <f t="shared" si="0"/>
        <v>43780</v>
      </c>
      <c r="O2" s="6">
        <f t="shared" si="0"/>
        <v>43781</v>
      </c>
      <c r="P2" s="6">
        <f t="shared" si="0"/>
        <v>43782</v>
      </c>
      <c r="Q2" s="6">
        <f t="shared" si="0"/>
        <v>43783</v>
      </c>
      <c r="R2" s="6">
        <f t="shared" si="0"/>
        <v>43784</v>
      </c>
      <c r="S2" s="6">
        <f t="shared" si="0"/>
        <v>43785</v>
      </c>
      <c r="T2" s="6">
        <f t="shared" si="0"/>
        <v>43786</v>
      </c>
      <c r="U2" s="6">
        <f t="shared" si="0"/>
        <v>43787</v>
      </c>
      <c r="V2" s="6">
        <f t="shared" si="0"/>
        <v>43788</v>
      </c>
      <c r="W2" s="6">
        <f t="shared" si="0"/>
        <v>43789</v>
      </c>
      <c r="X2" s="6">
        <f t="shared" si="0"/>
        <v>43790</v>
      </c>
      <c r="Y2" s="6">
        <f t="shared" si="0"/>
        <v>43791</v>
      </c>
      <c r="Z2" s="6">
        <f t="shared" si="0"/>
        <v>43792</v>
      </c>
      <c r="AA2" s="6">
        <f t="shared" si="0"/>
        <v>43793</v>
      </c>
      <c r="AB2" s="6">
        <f t="shared" si="0"/>
        <v>43794</v>
      </c>
      <c r="AC2" s="6">
        <f t="shared" si="0"/>
        <v>43795</v>
      </c>
      <c r="AD2" s="6">
        <f t="shared" si="0"/>
        <v>43796</v>
      </c>
      <c r="AE2" s="6">
        <f t="shared" si="0"/>
        <v>43797</v>
      </c>
      <c r="AF2" s="6">
        <f t="shared" si="0"/>
        <v>43798</v>
      </c>
      <c r="AG2" s="6">
        <f t="shared" si="0"/>
        <v>43799</v>
      </c>
      <c r="AH2" s="6">
        <f t="shared" si="0"/>
        <v>43800</v>
      </c>
    </row>
    <row r="3" spans="1:34" x14ac:dyDescent="0.25">
      <c r="A3" s="2"/>
      <c r="B3" s="2"/>
      <c r="C3" s="2"/>
    </row>
    <row r="4" spans="1:34" x14ac:dyDescent="0.25">
      <c r="B4" s="2"/>
      <c r="C4" s="2"/>
    </row>
    <row r="5" spans="1:34" x14ac:dyDescent="0.25">
      <c r="B5" s="2"/>
      <c r="C5" s="2"/>
    </row>
    <row r="6" spans="1:34" x14ac:dyDescent="0.25">
      <c r="B6" s="2"/>
      <c r="C6" s="2"/>
    </row>
    <row r="7" spans="1:34" x14ac:dyDescent="0.25">
      <c r="B7" s="2"/>
      <c r="C7" s="2"/>
    </row>
    <row r="8" spans="1:34" x14ac:dyDescent="0.25">
      <c r="B8" s="2"/>
      <c r="C8" s="2"/>
    </row>
    <row r="9" spans="1:34" x14ac:dyDescent="0.25">
      <c r="B9" s="2"/>
      <c r="C9" s="2"/>
    </row>
    <row r="10" spans="1:34" x14ac:dyDescent="0.25">
      <c r="B10" s="2"/>
      <c r="C10" s="2"/>
    </row>
    <row r="11" spans="1:34" x14ac:dyDescent="0.25">
      <c r="B11" s="2"/>
      <c r="C11" s="2"/>
    </row>
    <row r="12" spans="1:34" x14ac:dyDescent="0.25">
      <c r="B12" s="2"/>
      <c r="C12" s="2"/>
    </row>
    <row r="13" spans="1:34" x14ac:dyDescent="0.25">
      <c r="B13" s="2"/>
      <c r="C13" s="2"/>
    </row>
    <row r="14" spans="1:34" x14ac:dyDescent="0.25">
      <c r="B14" s="2"/>
      <c r="C14" s="2"/>
    </row>
    <row r="15" spans="1:34" x14ac:dyDescent="0.25">
      <c r="B15" s="2"/>
      <c r="C15" s="2"/>
    </row>
    <row r="16" spans="1:34" s="3" customFormat="1" x14ac:dyDescent="0.25">
      <c r="A16" s="1"/>
      <c r="B16" s="2"/>
      <c r="C16" s="2"/>
      <c r="D16" s="4"/>
      <c r="E16" s="4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</row>
  </sheetData>
  <sheetProtection formatCells="0" formatColumns="0" formatRows="0" insertColumns="0" insertRows="0" deleteColumns="0" deleteRows="0"/>
  <dataConsolidate/>
  <conditionalFormatting sqref="H2">
    <cfRule type="expression" dxfId="11" priority="7">
      <formula>IF(WEEKDAY(H2,2)&gt;5,TRUE,FALSE)</formula>
    </cfRule>
  </conditionalFormatting>
  <conditionalFormatting sqref="E2">
    <cfRule type="expression" dxfId="10" priority="6">
      <formula>IF(WEEKDAY(E2,2)&gt;5,TRUE,FALSE)</formula>
    </cfRule>
  </conditionalFormatting>
  <conditionalFormatting sqref="F2">
    <cfRule type="expression" dxfId="9" priority="5">
      <formula>IF(WEEKDAY(F2,2)&gt;5,TRUE,FALSE)</formula>
    </cfRule>
  </conditionalFormatting>
  <conditionalFormatting sqref="G2">
    <cfRule type="expression" dxfId="8" priority="4">
      <formula>IF(WEEKDAY(G2,2)&gt;5,TRUE,FALSE)</formula>
    </cfRule>
  </conditionalFormatting>
  <conditionalFormatting sqref="I2:AH2">
    <cfRule type="expression" dxfId="7" priority="3">
      <formula>IF(WEEKDAY(I2,2)&gt;5,TRUE,FALSE)</formula>
    </cfRule>
  </conditionalFormatting>
  <conditionalFormatting sqref="D2">
    <cfRule type="expression" dxfId="6" priority="1">
      <formula>IF(WEEKDAY(D2,2)&gt;5,TRUE,FALSE)</formula>
    </cfRule>
  </conditionalFormatting>
  <dataValidations count="2">
    <dataValidation type="list" allowBlank="1" showInputMessage="1" showErrorMessage="1" sqref="A3:A1048576">
      <formula1>MyProjectCodeList</formula1>
    </dataValidation>
    <dataValidation type="list" allowBlank="1" showInputMessage="1" showErrorMessage="1" sqref="B3:B1048576">
      <formula1>OFFSET(MyProjectCodeStart,MATCH(A3, MyProjectCodeColumn, 0) -1, 1, COUNTIF(MyProjectCodeColumn,A3), 1)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H16"/>
  <sheetViews>
    <sheetView zoomScale="130" zoomScaleNormal="13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5" x14ac:dyDescent="0.25"/>
  <cols>
    <col min="1" max="1" width="18.7109375" style="1" customWidth="1"/>
    <col min="2" max="2" width="13.42578125" style="1" customWidth="1"/>
    <col min="3" max="3" width="2.7109375" style="1" customWidth="1"/>
    <col min="4" max="5" width="10.42578125" style="4" bestFit="1" customWidth="1"/>
    <col min="6" max="6" width="10.5703125" style="5" bestFit="1" customWidth="1"/>
    <col min="7" max="31" width="11.140625" style="5" customWidth="1"/>
    <col min="32" max="33" width="10.42578125" style="5" bestFit="1" customWidth="1"/>
    <col min="34" max="34" width="10.5703125" style="5" bestFit="1" customWidth="1"/>
    <col min="35" max="16384" width="9.140625" style="5"/>
  </cols>
  <sheetData>
    <row r="1" spans="1:34" s="8" customFormat="1" x14ac:dyDescent="0.25">
      <c r="A1" s="7" t="s">
        <v>1</v>
      </c>
      <c r="B1" s="7" t="s">
        <v>2</v>
      </c>
      <c r="C1" s="7"/>
      <c r="D1" s="10" t="s">
        <v>0</v>
      </c>
      <c r="E1" s="9">
        <f>EDATE(Jan!E1,11)</f>
        <v>43800</v>
      </c>
    </row>
    <row r="2" spans="1:34" x14ac:dyDescent="0.25">
      <c r="A2" s="7"/>
      <c r="B2" s="7"/>
      <c r="C2" s="7"/>
      <c r="D2" s="6">
        <f>E1</f>
        <v>43800</v>
      </c>
      <c r="E2" s="6">
        <f>D2+1</f>
        <v>43801</v>
      </c>
      <c r="F2" s="6">
        <f>E2+1</f>
        <v>43802</v>
      </c>
      <c r="G2" s="6">
        <f>F2+1</f>
        <v>43803</v>
      </c>
      <c r="H2" s="6">
        <f>G2+1</f>
        <v>43804</v>
      </c>
      <c r="I2" s="6">
        <f t="shared" ref="I2:AH2" si="0">H2+1</f>
        <v>43805</v>
      </c>
      <c r="J2" s="6">
        <f t="shared" si="0"/>
        <v>43806</v>
      </c>
      <c r="K2" s="6">
        <f t="shared" si="0"/>
        <v>43807</v>
      </c>
      <c r="L2" s="6">
        <f t="shared" si="0"/>
        <v>43808</v>
      </c>
      <c r="M2" s="6">
        <f t="shared" si="0"/>
        <v>43809</v>
      </c>
      <c r="N2" s="6">
        <f t="shared" si="0"/>
        <v>43810</v>
      </c>
      <c r="O2" s="6">
        <f t="shared" si="0"/>
        <v>43811</v>
      </c>
      <c r="P2" s="6">
        <f t="shared" si="0"/>
        <v>43812</v>
      </c>
      <c r="Q2" s="6">
        <f t="shared" si="0"/>
        <v>43813</v>
      </c>
      <c r="R2" s="6">
        <f t="shared" si="0"/>
        <v>43814</v>
      </c>
      <c r="S2" s="6">
        <f t="shared" si="0"/>
        <v>43815</v>
      </c>
      <c r="T2" s="6">
        <f t="shared" si="0"/>
        <v>43816</v>
      </c>
      <c r="U2" s="6">
        <f t="shared" si="0"/>
        <v>43817</v>
      </c>
      <c r="V2" s="6">
        <f t="shared" si="0"/>
        <v>43818</v>
      </c>
      <c r="W2" s="6">
        <f t="shared" si="0"/>
        <v>43819</v>
      </c>
      <c r="X2" s="6">
        <f t="shared" si="0"/>
        <v>43820</v>
      </c>
      <c r="Y2" s="6">
        <f t="shared" si="0"/>
        <v>43821</v>
      </c>
      <c r="Z2" s="6">
        <f t="shared" si="0"/>
        <v>43822</v>
      </c>
      <c r="AA2" s="6">
        <f t="shared" si="0"/>
        <v>43823</v>
      </c>
      <c r="AB2" s="6">
        <f t="shared" si="0"/>
        <v>43824</v>
      </c>
      <c r="AC2" s="6">
        <f t="shared" si="0"/>
        <v>43825</v>
      </c>
      <c r="AD2" s="6">
        <f t="shared" si="0"/>
        <v>43826</v>
      </c>
      <c r="AE2" s="6">
        <f t="shared" si="0"/>
        <v>43827</v>
      </c>
      <c r="AF2" s="6">
        <f t="shared" si="0"/>
        <v>43828</v>
      </c>
      <c r="AG2" s="6">
        <f t="shared" si="0"/>
        <v>43829</v>
      </c>
      <c r="AH2" s="6">
        <f t="shared" si="0"/>
        <v>43830</v>
      </c>
    </row>
    <row r="3" spans="1:34" x14ac:dyDescent="0.25">
      <c r="A3" s="2"/>
      <c r="B3" s="2"/>
      <c r="C3" s="2"/>
    </row>
    <row r="4" spans="1:34" x14ac:dyDescent="0.25">
      <c r="B4" s="2"/>
      <c r="C4" s="2"/>
    </row>
    <row r="5" spans="1:34" x14ac:dyDescent="0.25">
      <c r="B5" s="2"/>
      <c r="C5" s="2"/>
    </row>
    <row r="6" spans="1:34" x14ac:dyDescent="0.25">
      <c r="B6" s="2"/>
      <c r="C6" s="2"/>
    </row>
    <row r="7" spans="1:34" x14ac:dyDescent="0.25">
      <c r="B7" s="2"/>
      <c r="C7" s="2"/>
    </row>
    <row r="8" spans="1:34" x14ac:dyDescent="0.25">
      <c r="B8" s="2"/>
      <c r="C8" s="2"/>
    </row>
    <row r="9" spans="1:34" x14ac:dyDescent="0.25">
      <c r="B9" s="2"/>
      <c r="C9" s="2"/>
    </row>
    <row r="10" spans="1:34" x14ac:dyDescent="0.25">
      <c r="B10" s="2"/>
      <c r="C10" s="2"/>
    </row>
    <row r="11" spans="1:34" x14ac:dyDescent="0.25">
      <c r="B11" s="2"/>
      <c r="C11" s="2"/>
    </row>
    <row r="12" spans="1:34" x14ac:dyDescent="0.25">
      <c r="B12" s="2"/>
      <c r="C12" s="2"/>
    </row>
    <row r="13" spans="1:34" x14ac:dyDescent="0.25">
      <c r="B13" s="2"/>
      <c r="C13" s="2"/>
    </row>
    <row r="14" spans="1:34" x14ac:dyDescent="0.25">
      <c r="B14" s="2"/>
      <c r="C14" s="2"/>
    </row>
    <row r="15" spans="1:34" x14ac:dyDescent="0.25">
      <c r="B15" s="2"/>
      <c r="C15" s="2"/>
    </row>
    <row r="16" spans="1:34" s="3" customFormat="1" x14ac:dyDescent="0.25">
      <c r="A16" s="1"/>
      <c r="B16" s="2"/>
      <c r="C16" s="2"/>
      <c r="D16" s="4"/>
      <c r="E16" s="4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</row>
  </sheetData>
  <sheetProtection formatCells="0" formatColumns="0" formatRows="0" insertColumns="0" insertRows="0" deleteColumns="0" deleteRows="0"/>
  <dataConsolidate/>
  <conditionalFormatting sqref="H2">
    <cfRule type="expression" dxfId="5" priority="7">
      <formula>IF(WEEKDAY(H2,2)&gt;5,TRUE,FALSE)</formula>
    </cfRule>
  </conditionalFormatting>
  <conditionalFormatting sqref="E2">
    <cfRule type="expression" dxfId="4" priority="6">
      <formula>IF(WEEKDAY(E2,2)&gt;5,TRUE,FALSE)</formula>
    </cfRule>
  </conditionalFormatting>
  <conditionalFormatting sqref="F2">
    <cfRule type="expression" dxfId="3" priority="5">
      <formula>IF(WEEKDAY(F2,2)&gt;5,TRUE,FALSE)</formula>
    </cfRule>
  </conditionalFormatting>
  <conditionalFormatting sqref="G2">
    <cfRule type="expression" dxfId="2" priority="4">
      <formula>IF(WEEKDAY(G2,2)&gt;5,TRUE,FALSE)</formula>
    </cfRule>
  </conditionalFormatting>
  <conditionalFormatting sqref="I2:AH2">
    <cfRule type="expression" dxfId="1" priority="3">
      <formula>IF(WEEKDAY(I2,2)&gt;5,TRUE,FALSE)</formula>
    </cfRule>
  </conditionalFormatting>
  <conditionalFormatting sqref="D2">
    <cfRule type="expression" dxfId="0" priority="1">
      <formula>IF(WEEKDAY(D2,2)&gt;5,TRUE,FALSE)</formula>
    </cfRule>
  </conditionalFormatting>
  <dataValidations count="2">
    <dataValidation type="list" allowBlank="1" showInputMessage="1" showErrorMessage="1" sqref="B3:B1048576">
      <formula1>OFFSET(MyProjectCodeStart,MATCH(A3, MyProjectCodeColumn, 0) -1, 1, COUNTIF(MyProjectCodeColumn,A3), 1)</formula1>
    </dataValidation>
    <dataValidation type="list" allowBlank="1" showInputMessage="1" showErrorMessage="1" sqref="A3:A1048576">
      <formula1>MyProjectCodeList</formula1>
    </dataValidation>
  </dataValidation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Jan</vt:lpstr>
      <vt:lpstr>Feb</vt:lpstr>
      <vt:lpstr>Mar</vt:lpstr>
      <vt:lpstr>Apr</vt:lpstr>
      <vt:lpstr>May</vt:lpstr>
      <vt:lpstr>June</vt:lpstr>
      <vt:lpstr>July</vt:lpstr>
      <vt:lpstr>Aug</vt:lpstr>
      <vt:lpstr>Sep</vt:lpstr>
      <vt:lpstr>Oct</vt:lpstr>
      <vt:lpstr>Nov</vt:lpstr>
      <vt:lpstr>Dec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suresh</dc:creator>
  <cp:lastModifiedBy>Manikannan Marimuthu</cp:lastModifiedBy>
  <dcterms:created xsi:type="dcterms:W3CDTF">2018-11-29T06:20:02Z</dcterms:created>
  <dcterms:modified xsi:type="dcterms:W3CDTF">2019-05-20T12:17:25Z</dcterms:modified>
</cp:coreProperties>
</file>